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(Mixed Log)" sheetId="1" state="visible" r:id="rId1"/>
    <sheet xmlns:r="http://schemas.openxmlformats.org/officeDocument/2006/relationships" name="QA Dashboard &amp; Metrics" sheetId="2" state="visible" r:id="rId2"/>
    <sheet xmlns:r="http://schemas.openxmlformats.org/officeDocument/2006/relationships" name="Defects Log (12 Fails)" sheetId="3" state="visible" r:id="rId3"/>
    <sheet xmlns:r="http://schemas.openxmlformats.org/officeDocument/2006/relationships" name="Testing Metrics &amp; 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b val="1"/>
      <color rgb="00000000"/>
      <sz val="9.5"/>
    </font>
    <font>
      <name val="Calibri"/>
      <b val="1"/>
      <color rgb="00006100"/>
      <sz val="9.5"/>
    </font>
    <font>
      <name val="Calibri"/>
      <b val="1"/>
      <color rgb="009C0006"/>
      <sz val="9.5"/>
    </font>
    <font>
      <name val="Calibri"/>
      <b val="1"/>
      <color rgb="008A6D3B"/>
      <sz val="9.5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8F9FA"/>
        <bgColor rgb="00F8F9FA"/>
      </patternFill>
    </fill>
    <fill>
      <patternFill patternType="solid">
        <fgColor rgb="00FFC7CE"/>
        <bgColor rgb="00FFC7CE"/>
      </patternFill>
    </fill>
    <fill>
      <patternFill patternType="solid">
        <fgColor rgb="00FCF8E3"/>
        <bgColor rgb="00FCF8E3"/>
      </patternFill>
    </fill>
    <fill>
      <patternFill patternType="solid">
        <fgColor rgb="00E9ECEF"/>
        <bgColor rgb="00E9ECEF"/>
      </patternFill>
    </fill>
    <fill>
      <patternFill patternType="solid">
        <fgColor rgb="00F2F2F2"/>
        <bgColor rgb="00F2F2F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44" customWidth="1" min="4" max="4"/>
    <col width="48" customWidth="1" min="5" max="5"/>
    <col width="14" customWidth="1" min="6" max="6"/>
  </cols>
  <sheetData>
    <row r="1">
      <c r="A1" s="1" t="inlineStr">
        <is>
          <t>JioMart Categories, Subcategories &amp; Navigation - Test Execution Matrix</t>
        </is>
      </c>
    </row>
    <row r="2">
      <c r="A2" s="2" t="inlineStr">
        <is>
          <t>Real-World QA Execution Log: Intermixed Pass, Fail (Defects), and Pending Test Cases</t>
        </is>
      </c>
    </row>
    <row r="4" ht="28" customHeight="1">
      <c r="A4" s="3" t="inlineStr">
        <is>
          <t>Test Case ID</t>
        </is>
      </c>
      <c r="B4" s="3" t="inlineStr">
        <is>
          <t>Feature / Sub-Module</t>
        </is>
      </c>
      <c r="C4" s="3" t="inlineStr">
        <is>
          <t>Test Case Scenario</t>
        </is>
      </c>
      <c r="D4" s="3" t="inlineStr">
        <is>
          <t>Test Steps</t>
        </is>
      </c>
      <c r="E4" s="3" t="inlineStr">
        <is>
          <t>Expected / Observed Result</t>
        </is>
      </c>
      <c r="F4" s="3" t="inlineStr">
        <is>
          <t>Status</t>
        </is>
      </c>
    </row>
    <row r="5" ht="24" customHeight="1">
      <c r="A5" s="4" t="inlineStr">
        <is>
          <t>TC_001</t>
        </is>
      </c>
      <c r="B5" s="5" t="inlineStr">
        <is>
          <t>Category Display</t>
        </is>
      </c>
      <c r="C5" s="6" t="inlineStr">
        <is>
          <t>Verify all main categories render on homepage header</t>
        </is>
      </c>
      <c r="D5" s="6" t="inlineStr">
        <is>
          <t>1. Open homepage. 2. Observe navigation bar.</t>
        </is>
      </c>
      <c r="E5" s="6" t="inlineStr">
        <is>
          <t>All primary categories (Groceries, Electronics, Fashion, Home, Beauty) load cleanly.</t>
        </is>
      </c>
      <c r="F5" s="7" t="inlineStr">
        <is>
          <t>Pass</t>
        </is>
      </c>
    </row>
    <row r="6" ht="24" customHeight="1">
      <c r="A6" s="8" t="inlineStr">
        <is>
          <t>TC_002</t>
        </is>
      </c>
      <c r="B6" s="9" t="inlineStr">
        <is>
          <t>Category Display</t>
        </is>
      </c>
      <c r="C6" s="10" t="inlineStr">
        <is>
          <t>Verify subcategories expand on mouse hover</t>
        </is>
      </c>
      <c r="D6" s="10" t="inlineStr">
        <is>
          <t>1. Hover cursor over 'Groceries'.</t>
        </is>
      </c>
      <c r="E6" s="10" t="inlineStr">
        <is>
          <t>Flyout menu expands smoothly showing Staples, Dairy &amp; Bakery, Beverages.</t>
        </is>
      </c>
      <c r="F6" s="7" t="inlineStr">
        <is>
          <t>Pass</t>
        </is>
      </c>
    </row>
    <row r="7" ht="24" customHeight="1">
      <c r="A7" s="4" t="inlineStr">
        <is>
          <t>TC_003</t>
        </is>
      </c>
      <c r="B7" s="5" t="inlineStr">
        <is>
          <t>Category Display</t>
        </is>
      </c>
      <c r="C7" s="6" t="inlineStr">
        <is>
          <t>Verify subcategories open on mobile screen tap</t>
        </is>
      </c>
      <c r="D7" s="6" t="inlineStr">
        <is>
          <t>1. Emulate mobile view. 2. Tap on 'Groceries'.</t>
        </is>
      </c>
      <c r="E7" s="6" t="inlineStr">
        <is>
          <t>Category drawer opens displaying nested subcategory list.</t>
        </is>
      </c>
      <c r="F7" s="7" t="inlineStr">
        <is>
          <t>Pass</t>
        </is>
      </c>
    </row>
    <row r="8" ht="24" customHeight="1">
      <c r="A8" s="8" t="inlineStr">
        <is>
          <t>TC_004</t>
        </is>
      </c>
      <c r="B8" s="9" t="inlineStr">
        <is>
          <t>Category Display</t>
        </is>
      </c>
      <c r="C8" s="10" t="inlineStr">
        <is>
          <t>Verify category display during network throttling (Slow 3G)</t>
        </is>
      </c>
      <c r="D8" s="10" t="inlineStr">
        <is>
          <t>1. Set throttling to Slow 3G in DevTools. 2. Hover over category menu.</t>
        </is>
      </c>
      <c r="E8" s="10" t="inlineStr">
        <is>
          <t>Expected: Skeleton loaders display smoothly.
[FAIL]: Menu script crashes with Uncaught TypeError; blank dropdown rendered.</t>
        </is>
      </c>
      <c r="F8" s="11" t="inlineStr">
        <is>
          <t>Fail</t>
        </is>
      </c>
    </row>
    <row r="9" ht="24" customHeight="1">
      <c r="A9" s="4" t="inlineStr">
        <is>
          <t>TC_005</t>
        </is>
      </c>
      <c r="B9" s="5" t="inlineStr">
        <is>
          <t>Category Hierarchy</t>
        </is>
      </c>
      <c r="C9" s="6" t="inlineStr">
        <is>
          <t>Verify second-level nested subcategories (L2)</t>
        </is>
      </c>
      <c r="D9" s="6" t="inlineStr">
        <is>
          <t>1. Hover over 'Groceries' -&gt; 'Dairy &amp; Bakery'.</t>
        </is>
      </c>
      <c r="E9" s="6" t="inlineStr">
        <is>
          <t>L2 menu opens showing Milk, Butter, Cheese, Bread, Yogurt.</t>
        </is>
      </c>
      <c r="F9" s="7" t="inlineStr">
        <is>
          <t>Pass</t>
        </is>
      </c>
    </row>
    <row r="10" ht="24" customHeight="1">
      <c r="A10" s="8" t="inlineStr">
        <is>
          <t>TC_006</t>
        </is>
      </c>
      <c r="B10" s="9" t="inlineStr">
        <is>
          <t>Category Hierarchy</t>
        </is>
      </c>
      <c r="C10" s="10" t="inlineStr">
        <is>
          <t>Verify third-level nested subcategories (L3)</t>
        </is>
      </c>
      <c r="D10" s="10" t="inlineStr">
        <is>
          <t>1. Navigate to 'Dairy' -&gt; 'Milk'.</t>
        </is>
      </c>
      <c r="E10" s="10" t="inlineStr">
        <is>
          <t>L3 items (Full Cream, Toned, Almond Milk, Soy Milk) display accurately.</t>
        </is>
      </c>
      <c r="F10" s="7" t="inlineStr">
        <is>
          <t>Pass</t>
        </is>
      </c>
    </row>
    <row r="11" ht="24" customHeight="1">
      <c r="A11" s="4" t="inlineStr">
        <is>
          <t>TC_007</t>
        </is>
      </c>
      <c r="B11" s="5" t="inlineStr">
        <is>
          <t>Category Display</t>
        </is>
      </c>
      <c r="C11" s="6" t="inlineStr">
        <is>
          <t>Verify category keyboard accessibility (Tab navigation)</t>
        </is>
      </c>
      <c r="D11" s="6" t="inlineStr">
        <is>
          <t>1. Use 'Tab' key to move through category header. 2. Press Enter.</t>
        </is>
      </c>
      <c r="E11" s="6" t="inlineStr">
        <is>
          <t>Clear focus ring highlights each category sequentially; Enter key opens dropdown.</t>
        </is>
      </c>
      <c r="F11" s="7" t="inlineStr">
        <is>
          <t>Pass</t>
        </is>
      </c>
    </row>
    <row r="12" ht="24" customHeight="1">
      <c r="A12" s="8" t="inlineStr">
        <is>
          <t>TC_008</t>
        </is>
      </c>
      <c r="B12" s="9" t="inlineStr">
        <is>
          <t>Category Display</t>
        </is>
      </c>
      <c r="C12" s="10" t="inlineStr">
        <is>
          <t>Verify category icons and images render without distortion</t>
        </is>
      </c>
      <c r="D12" s="10" t="inlineStr">
        <is>
          <t>1. Scroll through category grid on homepage.</t>
        </is>
      </c>
      <c r="E12" s="10" t="inlineStr">
        <is>
          <t>All category thumbnail icons and badges load cleanly with correct aspect ratio.</t>
        </is>
      </c>
      <c r="F12" s="7" t="inlineStr">
        <is>
          <t>Pass</t>
        </is>
      </c>
    </row>
    <row r="13" ht="24" customHeight="1">
      <c r="A13" s="4" t="inlineStr">
        <is>
          <t>TC_009</t>
        </is>
      </c>
      <c r="B13" s="5" t="inlineStr">
        <is>
          <t>Category Display</t>
        </is>
      </c>
      <c r="C13" s="6" t="inlineStr">
        <is>
          <t>Verify sticky category header remains visible on scroll</t>
        </is>
      </c>
      <c r="D13" s="6" t="inlineStr">
        <is>
          <t>1. Scroll down 1200px on homepage.</t>
        </is>
      </c>
      <c r="E13" s="6" t="inlineStr">
        <is>
          <t>Navigation bar remains fixed at top of viewport.</t>
        </is>
      </c>
      <c r="F13" s="7" t="inlineStr">
        <is>
          <t>Pass</t>
        </is>
      </c>
    </row>
    <row r="14" ht="24" customHeight="1">
      <c r="A14" s="8" t="inlineStr">
        <is>
          <t>TC_010</t>
        </is>
      </c>
      <c r="B14" s="9" t="inlineStr">
        <is>
          <t>Category Display</t>
        </is>
      </c>
      <c r="C14" s="10" t="inlineStr">
        <is>
          <t>Verify 'All Categories' mega-menu link expansion</t>
        </is>
      </c>
      <c r="D14" s="10" t="inlineStr">
        <is>
          <t>1. Click hamburger icon 'All Categories'.</t>
        </is>
      </c>
      <c r="E14" s="10" t="inlineStr">
        <is>
          <t>Full-screen directory menu opens displaying complete category tree.</t>
        </is>
      </c>
      <c r="F14" s="7" t="inlineStr">
        <is>
          <t>Pass</t>
        </is>
      </c>
    </row>
    <row r="15" ht="24" customHeight="1">
      <c r="A15" s="4" t="inlineStr">
        <is>
          <t>TC_011</t>
        </is>
      </c>
      <c r="B15" s="5" t="inlineStr">
        <is>
          <t>Localization</t>
        </is>
      </c>
      <c r="C15" s="6" t="inlineStr">
        <is>
          <t>Verify category menu titles in regional language: Hindi</t>
        </is>
      </c>
      <c r="D15" s="6" t="inlineStr">
        <is>
          <t>1. Switch language to Hindi. 2. Inspect category titles.</t>
        </is>
      </c>
      <c r="E15" s="6" t="inlineStr">
        <is>
          <t>Category labels translate accurately to Hindi script without truncation.</t>
        </is>
      </c>
      <c r="F15" s="7" t="inlineStr">
        <is>
          <t>Pass</t>
        </is>
      </c>
    </row>
    <row r="16" ht="24" customHeight="1">
      <c r="A16" s="8" t="inlineStr">
        <is>
          <t>TC_012</t>
        </is>
      </c>
      <c r="B16" s="9" t="inlineStr">
        <is>
          <t>Localization</t>
        </is>
      </c>
      <c r="C16" s="10" t="inlineStr">
        <is>
          <t>Verify category menu titles in regional language: Tamil</t>
        </is>
      </c>
      <c r="D16" s="10" t="inlineStr">
        <is>
          <t>1. Switch language to Tamil. 2. Inspect category labels.</t>
        </is>
      </c>
      <c r="E16" s="10" t="inlineStr">
        <is>
          <t>Category labels render cleanly in Tamil script without font clipping or layout distortion.</t>
        </is>
      </c>
      <c r="F16" s="7" t="inlineStr">
        <is>
          <t>Pass</t>
        </is>
      </c>
    </row>
    <row r="17" ht="24" customHeight="1">
      <c r="A17" s="4" t="inlineStr">
        <is>
          <t>TC_013</t>
        </is>
      </c>
      <c r="B17" s="5" t="inlineStr">
        <is>
          <t>Localization</t>
        </is>
      </c>
      <c r="C17" s="6" t="inlineStr">
        <is>
          <t>Verify category menu titles in regional language: Marathi</t>
        </is>
      </c>
      <c r="D17" s="6" t="inlineStr">
        <is>
          <t>1. Switch language to Marathi. 2. Verify subcategories.</t>
        </is>
      </c>
      <c r="E17" s="6" t="inlineStr">
        <is>
          <t>Test execution scheduled for Regional Language QA sprint.</t>
        </is>
      </c>
      <c r="F17" s="12" t="inlineStr">
        <is>
          <t>Pending</t>
        </is>
      </c>
    </row>
    <row r="18" ht="24" customHeight="1">
      <c r="A18" s="8" t="inlineStr">
        <is>
          <t>TC_014</t>
        </is>
      </c>
      <c r="B18" s="9" t="inlineStr">
        <is>
          <t>Category Display</t>
        </is>
      </c>
      <c r="C18" s="10" t="inlineStr">
        <is>
          <t>Verify category hover tooltip description</t>
        </is>
      </c>
      <c r="D18" s="10" t="inlineStr">
        <is>
          <t>1. Hover over niche category tile 'Gourmet Staples'.</t>
        </is>
      </c>
      <c r="E18" s="10" t="inlineStr">
        <is>
          <t>Informative tooltip appears outlining product types included in category.</t>
        </is>
      </c>
      <c r="F18" s="7" t="inlineStr">
        <is>
          <t>Pass</t>
        </is>
      </c>
    </row>
    <row r="19" ht="24" customHeight="1">
      <c r="A19" s="4" t="inlineStr">
        <is>
          <t>TC_015</t>
        </is>
      </c>
      <c r="B19" s="5" t="inlineStr">
        <is>
          <t>Selection &amp; Routing</t>
        </is>
      </c>
      <c r="C19" s="6" t="inlineStr">
        <is>
          <t>Verify clicking top-level category routes to landing page</t>
        </is>
      </c>
      <c r="D19" s="6" t="inlineStr">
        <is>
          <t>1. Click 'Groceries'.</t>
        </is>
      </c>
      <c r="E19" s="6" t="inlineStr">
        <is>
          <t>User is redirected to '/category/groceries' with category banner and top deals.</t>
        </is>
      </c>
      <c r="F19" s="7" t="inlineStr">
        <is>
          <t>Pass</t>
        </is>
      </c>
    </row>
    <row r="20" ht="24" customHeight="1">
      <c r="A20" s="8" t="inlineStr">
        <is>
          <t>TC_016</t>
        </is>
      </c>
      <c r="B20" s="9" t="inlineStr">
        <is>
          <t>Selection &amp; Routing</t>
        </is>
      </c>
      <c r="C20" s="10" t="inlineStr">
        <is>
          <t>Verify clicking subcategory routes to Product Listing Page (PLP)</t>
        </is>
      </c>
      <c r="D20" s="10" t="inlineStr">
        <is>
          <t>1. Click 'Staples &amp; Grains'.</t>
        </is>
      </c>
      <c r="E20" s="10" t="inlineStr">
        <is>
          <t>User navigates to '/category/groceries/staples-grains'; products load correctly.</t>
        </is>
      </c>
      <c r="F20" s="7" t="inlineStr">
        <is>
          <t>Pass</t>
        </is>
      </c>
    </row>
    <row r="21" ht="24" customHeight="1">
      <c r="A21" s="4" t="inlineStr">
        <is>
          <t>TC_017</t>
        </is>
      </c>
      <c r="B21" s="5" t="inlineStr">
        <is>
          <t>Selection &amp; Routing</t>
        </is>
      </c>
      <c r="C21" s="6" t="inlineStr">
        <is>
          <t>Verify SEO-friendly canonical URL structure for categories</t>
        </is>
      </c>
      <c r="D21" s="6" t="inlineStr">
        <is>
          <t>1. Navigate to 'Men's Footwear'. 2. Check address bar.</t>
        </is>
      </c>
      <c r="E21" s="6" t="inlineStr">
        <is>
          <t>URL contains clean slug '/fashion/footwear/mens-footwear' without parameters.</t>
        </is>
      </c>
      <c r="F21" s="7" t="inlineStr">
        <is>
          <t>Pass</t>
        </is>
      </c>
    </row>
    <row r="22" ht="24" customHeight="1">
      <c r="A22" s="8" t="inlineStr">
        <is>
          <t>TC_018</t>
        </is>
      </c>
      <c r="B22" s="9" t="inlineStr">
        <is>
          <t>Selection &amp; Routing</t>
        </is>
      </c>
      <c r="C22" s="10" t="inlineStr">
        <is>
          <t>Verify URL handling for category names containing ampersand (&amp;)</t>
        </is>
      </c>
      <c r="D22" s="10" t="inlineStr">
        <is>
          <t>1. Click category 'Beauty &amp; Personal Care'. 2. Check URL.</t>
        </is>
      </c>
      <c r="E22" s="10" t="inlineStr">
        <is>
          <t>Expected: Clean URL '/category/beauty-personal-care'.
[FAIL]: Ampersand is unencoded, breaking route to '/category/beauty'.</t>
        </is>
      </c>
      <c r="F22" s="11" t="inlineStr">
        <is>
          <t>Fail</t>
        </is>
      </c>
    </row>
    <row r="23" ht="24" customHeight="1">
      <c r="A23" s="4" t="inlineStr">
        <is>
          <t>TC_019</t>
        </is>
      </c>
      <c r="B23" s="5" t="inlineStr">
        <is>
          <t>Selection &amp; Routing</t>
        </is>
      </c>
      <c r="C23" s="6" t="inlineStr">
        <is>
          <t>Verify active category menu tab is visually highlighted</t>
        </is>
      </c>
      <c r="D23" s="6" t="inlineStr">
        <is>
          <t>1. Click 'Electronics' category.</t>
        </is>
      </c>
      <c r="E23" s="6" t="inlineStr">
        <is>
          <t>The 'Electronics' tab receives distinct underline and highlighted active state.</t>
        </is>
      </c>
      <c r="F23" s="7" t="inlineStr">
        <is>
          <t>Pass</t>
        </is>
      </c>
    </row>
    <row r="24" ht="24" customHeight="1">
      <c r="A24" s="8" t="inlineStr">
        <is>
          <t>TC_020</t>
        </is>
      </c>
      <c r="B24" s="9" t="inlineStr">
        <is>
          <t>Selection &amp; Routing</t>
        </is>
      </c>
      <c r="C24" s="10" t="inlineStr">
        <is>
          <t>Verify direct deep linking to nested subcategory URL</t>
        </is>
      </c>
      <c r="D24" s="10" t="inlineStr">
        <is>
          <t>1. Paste deep URL in new incognito browser tab.</t>
        </is>
      </c>
      <c r="E24" s="10" t="inlineStr">
        <is>
          <t>Target subcategory loads directly without redirecting to homepage.</t>
        </is>
      </c>
      <c r="F24" s="7" t="inlineStr">
        <is>
          <t>Pass</t>
        </is>
      </c>
    </row>
    <row r="25" ht="24" customHeight="1">
      <c r="A25" s="4" t="inlineStr">
        <is>
          <t>TC_021</t>
        </is>
      </c>
      <c r="B25" s="5" t="inlineStr">
        <is>
          <t>Selection &amp; Routing</t>
        </is>
      </c>
      <c r="C25" s="6" t="inlineStr">
        <is>
          <t>Verify handling of non-existent category URL slug</t>
        </is>
      </c>
      <c r="D25" s="6" t="inlineStr">
        <is>
          <t>1. Enter invalid URL '/category/unknown-item-123'.</t>
        </is>
      </c>
      <c r="E25" s="6" t="inlineStr">
        <is>
          <t>Clean custom 404 error page displayed with 'Browse Popular Categories' links.</t>
        </is>
      </c>
      <c r="F25" s="7" t="inlineStr">
        <is>
          <t>Pass</t>
        </is>
      </c>
    </row>
    <row r="26" ht="24" customHeight="1">
      <c r="A26" s="8" t="inlineStr">
        <is>
          <t>TC_022</t>
        </is>
      </c>
      <c r="B26" s="9" t="inlineStr">
        <is>
          <t>Selection &amp; Routing</t>
        </is>
      </c>
      <c r="C26" s="10" t="inlineStr">
        <is>
          <t>Verify category drawer navigation on mobile view</t>
        </is>
      </c>
      <c r="D26" s="10" t="inlineStr">
        <is>
          <t>1. Tap 'Categories' in mobile bottom dock.</t>
        </is>
      </c>
      <c r="E26" s="10" t="inlineStr">
        <is>
          <t>Vertical 2-column sidebar opens with smooth swipe gesture.</t>
        </is>
      </c>
      <c r="F26" s="7" t="inlineStr">
        <is>
          <t>Pass</t>
        </is>
      </c>
    </row>
    <row r="27" ht="24" customHeight="1">
      <c r="A27" s="4" t="inlineStr">
        <is>
          <t>TC_023</t>
        </is>
      </c>
      <c r="B27" s="5" t="inlineStr">
        <is>
          <t>Selection &amp; Routing</t>
        </is>
      </c>
      <c r="C27" s="6" t="inlineStr">
        <is>
          <t>Verify subcategory chip filtering at top of PLP</t>
        </is>
      </c>
      <c r="D27" s="6" t="inlineStr">
        <is>
          <t>1. On 'Groceries' page, click chip 'Dry Fruits'.</t>
        </is>
      </c>
      <c r="E27" s="6" t="inlineStr">
        <is>
          <t>Product list updates to Dry Fruits with chip marked active.</t>
        </is>
      </c>
      <c r="F27" s="7" t="inlineStr">
        <is>
          <t>Pass</t>
        </is>
      </c>
    </row>
    <row r="28" ht="24" customHeight="1">
      <c r="A28" s="8" t="inlineStr">
        <is>
          <t>TC_024</t>
        </is>
      </c>
      <c r="B28" s="9" t="inlineStr">
        <is>
          <t>Selection &amp; Routing</t>
        </is>
      </c>
      <c r="C28" s="10" t="inlineStr">
        <is>
          <t>Verify user session persistence during category browsing</t>
        </is>
      </c>
      <c r="D28" s="10" t="inlineStr">
        <is>
          <t>1. Log in to account. 2. Browse across 5 categories.</t>
        </is>
      </c>
      <c r="E28" s="10" t="inlineStr">
        <is>
          <t>User session, cart item count, and profile details remain intact.</t>
        </is>
      </c>
      <c r="F28" s="7" t="inlineStr">
        <is>
          <t>Pass</t>
        </is>
      </c>
    </row>
    <row r="29" ht="24" customHeight="1">
      <c r="A29" s="4" t="inlineStr">
        <is>
          <t>TC_025</t>
        </is>
      </c>
      <c r="B29" s="5" t="inlineStr">
        <is>
          <t>Selection &amp; Routing</t>
        </is>
      </c>
      <c r="C29" s="6" t="inlineStr">
        <is>
          <t>Verify category navigation preserving selected delivery pincode</t>
        </is>
      </c>
      <c r="D29" s="6" t="inlineStr">
        <is>
          <t>1. Set pincode '400001'. 2. Switch between categories.</t>
        </is>
      </c>
      <c r="E29" s="6" t="inlineStr">
        <is>
          <t>Pincode remains pinned at header; product availability reflects local fulfillment.</t>
        </is>
      </c>
      <c r="F29" s="7" t="inlineStr">
        <is>
          <t>Pass</t>
        </is>
      </c>
    </row>
    <row r="30" ht="24" customHeight="1">
      <c r="A30" s="8" t="inlineStr">
        <is>
          <t>TC_026</t>
        </is>
      </c>
      <c r="B30" s="9" t="inlineStr">
        <is>
          <t>Selection &amp; Routing</t>
        </is>
      </c>
      <c r="C30" s="10" t="inlineStr">
        <is>
          <t>Verify display for empty category containing zero products</t>
        </is>
      </c>
      <c r="D30" s="10" t="inlineStr">
        <is>
          <t>1. Navigate to empty seasonal category.</t>
        </is>
      </c>
      <c r="E30" s="10" t="inlineStr">
        <is>
          <t>Expected: 'No products currently available' empty state.
[FAIL]: Infinite loading spinner spins endlessly; user is trapped.</t>
        </is>
      </c>
      <c r="F30" s="11" t="inlineStr">
        <is>
          <t>Fail</t>
        </is>
      </c>
    </row>
    <row r="31" ht="24" customHeight="1">
      <c r="A31" s="4" t="inlineStr">
        <is>
          <t>TC_027</t>
        </is>
      </c>
      <c r="B31" s="5" t="inlineStr">
        <is>
          <t>Selection &amp; Routing</t>
        </is>
      </c>
      <c r="C31" s="6" t="inlineStr">
        <is>
          <t>Verify category banner clickthrough to promotion page</t>
        </is>
      </c>
      <c r="D31" s="6" t="inlineStr">
        <is>
          <t>1. Click promotional hero banner in 'Summer Essentials'.</t>
        </is>
      </c>
      <c r="E31" s="6" t="inlineStr">
        <is>
          <t>Redirects to curated campaign landing page with discounted products.</t>
        </is>
      </c>
      <c r="F31" s="7" t="inlineStr">
        <is>
          <t>Pass</t>
        </is>
      </c>
    </row>
    <row r="32" ht="24" customHeight="1">
      <c r="A32" s="8" t="inlineStr">
        <is>
          <t>TC_028</t>
        </is>
      </c>
      <c r="B32" s="9" t="inlineStr">
        <is>
          <t>Selection &amp; Routing</t>
        </is>
      </c>
      <c r="C32" s="10" t="inlineStr">
        <is>
          <t>Verify meta title and description tags for categories</t>
        </is>
      </c>
      <c r="D32" s="10" t="inlineStr">
        <is>
          <t>1. Open 'Organic Vegetables'. 2. Check HTML head tags.</t>
        </is>
      </c>
      <c r="E32" s="10" t="inlineStr">
        <is>
          <t>Meta title and description contain accurate SEO keywords.</t>
        </is>
      </c>
      <c r="F32" s="7" t="inlineStr">
        <is>
          <t>Pass</t>
        </is>
      </c>
    </row>
    <row r="33" ht="24" customHeight="1">
      <c r="A33" s="4" t="inlineStr">
        <is>
          <t>TC_029</t>
        </is>
      </c>
      <c r="B33" s="5" t="inlineStr">
        <is>
          <t>Accessibility</t>
        </is>
      </c>
      <c r="C33" s="6" t="inlineStr">
        <is>
          <t>Verify high-contrast mode visibility on category icons</t>
        </is>
      </c>
      <c r="D33" s="6" t="inlineStr">
        <is>
          <t>1. Turn on OS high-contrast mode.</t>
        </is>
      </c>
      <c r="E33" s="6" t="inlineStr">
        <is>
          <t>Pending execution scheduled for WCAG 2.1 accessibility sprint.</t>
        </is>
      </c>
      <c r="F33" s="12" t="inlineStr">
        <is>
          <t>Pending</t>
        </is>
      </c>
    </row>
    <row r="34" ht="24" customHeight="1">
      <c r="A34" s="8" t="inlineStr">
        <is>
          <t>TC_030</t>
        </is>
      </c>
      <c r="B34" s="9" t="inlineStr">
        <is>
          <t>Theming</t>
        </is>
      </c>
      <c r="C34" s="10" t="inlineStr">
        <is>
          <t>Verify category navigation drawer under Dark Mode</t>
        </is>
      </c>
      <c r="D34" s="10" t="inlineStr">
        <is>
          <t>1. Enable Dark Theme in mobile settings. 2. Open category drawer.</t>
        </is>
      </c>
      <c r="E34" s="10" t="inlineStr">
        <is>
          <t>Pending execution scheduled for Dark Mode compatibility sprint.</t>
        </is>
      </c>
      <c r="F34" s="12" t="inlineStr">
        <is>
          <t>Pending</t>
        </is>
      </c>
    </row>
    <row r="35" ht="24" customHeight="1">
      <c r="A35" s="4" t="inlineStr">
        <is>
          <t>TC_031</t>
        </is>
      </c>
      <c r="B35" s="5" t="inlineStr">
        <is>
          <t>Breadcrumbs</t>
        </is>
      </c>
      <c r="C35" s="6" t="inlineStr">
        <is>
          <t>Verify breadcrumb trail display on PLP</t>
        </is>
      </c>
      <c r="D35" s="6" t="inlineStr">
        <is>
          <t>1. Navigate: Home &gt; Groceries &gt; Beverages &gt; Tea.</t>
        </is>
      </c>
      <c r="E35" s="6" t="inlineStr">
        <is>
          <t>Breadcrumb bar displays: 'Home &gt; Groceries &gt; Beverages &gt; Tea'.</t>
        </is>
      </c>
      <c r="F35" s="7" t="inlineStr">
        <is>
          <t>Pass</t>
        </is>
      </c>
    </row>
    <row r="36" ht="24" customHeight="1">
      <c r="A36" s="8" t="inlineStr">
        <is>
          <t>TC_032</t>
        </is>
      </c>
      <c r="B36" s="9" t="inlineStr">
        <is>
          <t>Breadcrumbs</t>
        </is>
      </c>
      <c r="C36" s="10" t="inlineStr">
        <is>
          <t>Verify breadcrumb links are interactive and route backwards</t>
        </is>
      </c>
      <c r="D36" s="10" t="inlineStr">
        <is>
          <t>1. On 'Tea' listing page, click 'Groceries' in breadcrumb.</t>
        </is>
      </c>
      <c r="E36" s="10" t="inlineStr">
        <is>
          <t>Page navigates back to 'Groceries' landing page without reload delay.</t>
        </is>
      </c>
      <c r="F36" s="7" t="inlineStr">
        <is>
          <t>Pass</t>
        </is>
      </c>
    </row>
    <row r="37" ht="24" customHeight="1">
      <c r="A37" s="4" t="inlineStr">
        <is>
          <t>TC_033</t>
        </is>
      </c>
      <c r="B37" s="5" t="inlineStr">
        <is>
          <t>Breadcrumbs</t>
        </is>
      </c>
      <c r="C37" s="6" t="inlineStr">
        <is>
          <t>Verify breadcrumb hierarchy on Product Details Page (PDP)</t>
        </is>
      </c>
      <c r="D37" s="6" t="inlineStr">
        <is>
          <t>1. Open product 'Tata Tea Premium 1kg'.</t>
        </is>
      </c>
      <c r="E37" s="6" t="inlineStr">
        <is>
          <t>Breadcrumbs show: 'Home &gt; Groceries &gt; Beverages &gt; Tea &gt; Tata Tea Premium 1kg'.</t>
        </is>
      </c>
      <c r="F37" s="7" t="inlineStr">
        <is>
          <t>Pass</t>
        </is>
      </c>
    </row>
    <row r="38" ht="24" customHeight="1">
      <c r="A38" s="8" t="inlineStr">
        <is>
          <t>TC_034</t>
        </is>
      </c>
      <c r="B38" s="9" t="inlineStr">
        <is>
          <t>Breadcrumbs</t>
        </is>
      </c>
      <c r="C38" s="10" t="inlineStr">
        <is>
          <t>Verify terminal current page item in breadcrumbs is non-clickable</t>
        </is>
      </c>
      <c r="D38" s="10" t="inlineStr">
        <is>
          <t>1. Inspect last breadcrumb node on PDP.</t>
        </is>
      </c>
      <c r="E38" s="10" t="inlineStr">
        <is>
          <t>Current item is plain text with aria-current='page' (non-hyperlinked).</t>
        </is>
      </c>
      <c r="F38" s="7" t="inlineStr">
        <is>
          <t>Pass</t>
        </is>
      </c>
    </row>
    <row r="39" ht="24" customHeight="1">
      <c r="A39" s="4" t="inlineStr">
        <is>
          <t>TC_035</t>
        </is>
      </c>
      <c r="B39" s="5" t="inlineStr">
        <is>
          <t>Breadcrumbs</t>
        </is>
      </c>
      <c r="C39" s="6" t="inlineStr">
        <is>
          <t>Verify deep breadcrumb hierarchy on small mobile screens (375px)</t>
        </is>
      </c>
      <c r="D39" s="6" t="inlineStr">
        <is>
          <t>1. Open 6-level category on mobile viewport.</t>
        </is>
      </c>
      <c r="E39" s="6" t="inlineStr">
        <is>
          <t>Expected: Clean horizontal scroll or middle ellipsis (...).
[FAIL]: Breadcrumbs wrap into 3 broken lines, hiding top filters.</t>
        </is>
      </c>
      <c r="F39" s="11" t="inlineStr">
        <is>
          <t>Fail</t>
        </is>
      </c>
    </row>
    <row r="40" ht="24" customHeight="1">
      <c r="A40" s="8" t="inlineStr">
        <is>
          <t>TC_036</t>
        </is>
      </c>
      <c r="B40" s="9" t="inlineStr">
        <is>
          <t>Breadcrumbs</t>
        </is>
      </c>
      <c r="C40" s="10" t="inlineStr">
        <is>
          <t>Verify breadcrumb schema markup (JSON-LD BreadcrumbList)</t>
        </is>
      </c>
      <c r="D40" s="10" t="inlineStr">
        <is>
          <t>1. Inspect page source JSON-LD script.</t>
        </is>
      </c>
      <c r="E40" s="10" t="inlineStr">
        <is>
          <t>Pending execution scheduled for SEO Structured Data verification audit.</t>
        </is>
      </c>
      <c r="F40" s="12" t="inlineStr">
        <is>
          <t>Pending</t>
        </is>
      </c>
    </row>
    <row r="41" ht="24" customHeight="1">
      <c r="A41" s="4" t="inlineStr">
        <is>
          <t>TC_037</t>
        </is>
      </c>
      <c r="B41" s="5" t="inlineStr">
        <is>
          <t>Breadcrumbs</t>
        </is>
      </c>
      <c r="C41" s="6" t="inlineStr">
        <is>
          <t>Verify breadcrumb resolution when reaching product from Search</t>
        </is>
      </c>
      <c r="D41" s="6" t="inlineStr">
        <is>
          <t>1. Search 'Almonds' from homepage. 2. Click product.</t>
        </is>
      </c>
      <c r="E41" s="6" t="inlineStr">
        <is>
          <t>Breadcrumb accurately resolves default category: 'Home &gt; Groceries &gt; Dry Fruits'.</t>
        </is>
      </c>
      <c r="F41" s="7" t="inlineStr">
        <is>
          <t>Pass</t>
        </is>
      </c>
    </row>
    <row r="42" ht="24" customHeight="1">
      <c r="A42" s="8" t="inlineStr">
        <is>
          <t>TC_038</t>
        </is>
      </c>
      <c r="B42" s="9" t="inlineStr">
        <is>
          <t>Breadcrumbs</t>
        </is>
      </c>
      <c r="C42" s="10" t="inlineStr">
        <is>
          <t>Verify clicking 'Home' breadcrumb node redirects to root homepage</t>
        </is>
      </c>
      <c r="D42" s="10" t="inlineStr">
        <is>
          <t>1. Click 'Home' from any 4th level category page.</t>
        </is>
      </c>
      <c r="E42" s="10" t="inlineStr">
        <is>
          <t>Browser cleanly navigates to JioMart root homepage.</t>
        </is>
      </c>
      <c r="F42" s="7" t="inlineStr">
        <is>
          <t>Pass</t>
        </is>
      </c>
    </row>
    <row r="43" ht="24" customHeight="1">
      <c r="A43" s="4" t="inlineStr">
        <is>
          <t>TC_039</t>
        </is>
      </c>
      <c r="B43" s="5" t="inlineStr">
        <is>
          <t>Breadcrumbs</t>
        </is>
      </c>
      <c r="C43" s="6" t="inlineStr">
        <is>
          <t>Verify breadcrumbs maintain structure when applying filters</t>
        </is>
      </c>
      <c r="D43" s="6" t="inlineStr">
        <is>
          <t>1. In 'Tea' category, apply filter 'Brand: Red Label'.</t>
        </is>
      </c>
      <c r="E43" s="6" t="inlineStr">
        <is>
          <t>Breadcrumb path remains stable without injecting query filter strings.</t>
        </is>
      </c>
      <c r="F43" s="7" t="inlineStr">
        <is>
          <t>Pass</t>
        </is>
      </c>
    </row>
    <row r="44" ht="24" customHeight="1">
      <c r="A44" s="8" t="inlineStr">
        <is>
          <t>TC_040</t>
        </is>
      </c>
      <c r="B44" s="9" t="inlineStr">
        <is>
          <t>Breadcrumbs</t>
        </is>
      </c>
      <c r="C44" s="10" t="inlineStr">
        <is>
          <t>Verify breadcrumb link behavior following session logout</t>
        </is>
      </c>
      <c r="D44" s="10" t="inlineStr">
        <is>
          <t>1. On 'Groceries &gt; Staples', log out via header. 2. Click 'Groceries' in breadcrumb.</t>
        </is>
      </c>
      <c r="E44" s="10" t="inlineStr">
        <is>
          <t>Expected: Seamless return to Groceries.
[FAIL]: Redirect loop occurs between auth gateway and category route.</t>
        </is>
      </c>
      <c r="F44" s="11" t="inlineStr">
        <is>
          <t>Fail</t>
        </is>
      </c>
    </row>
    <row r="45" ht="24" customHeight="1">
      <c r="A45" s="4" t="inlineStr">
        <is>
          <t>TC_041</t>
        </is>
      </c>
      <c r="B45" s="5" t="inlineStr">
        <is>
          <t>Product Listing</t>
        </is>
      </c>
      <c r="C45" s="6" t="inlineStr">
        <is>
          <t>Verify product grid display layout under subcategory</t>
        </is>
      </c>
      <c r="D45" s="6" t="inlineStr">
        <is>
          <t>1. Open 'Dairy &amp; Bakery'.</t>
        </is>
      </c>
      <c r="E45" s="6" t="inlineStr">
        <is>
          <t>Responsive grid renders (4 items/row desktop, 2 items/row mobile).</t>
        </is>
      </c>
      <c r="F45" s="7" t="inlineStr">
        <is>
          <t>Pass</t>
        </is>
      </c>
    </row>
    <row r="46" ht="24" customHeight="1">
      <c r="A46" s="8" t="inlineStr">
        <is>
          <t>TC_042</t>
        </is>
      </c>
      <c r="B46" s="9" t="inlineStr">
        <is>
          <t>Product Listing</t>
        </is>
      </c>
      <c r="C46" s="10" t="inlineStr">
        <is>
          <t>Verify product card elements on category listing</t>
        </is>
      </c>
      <c r="D46" s="10" t="inlineStr">
        <is>
          <t>1. Inspect any product card.</t>
        </is>
      </c>
      <c r="E46" s="10" t="inlineStr">
        <is>
          <t>Card displays image, product title, pack size, discounted price, MRP, and Add button.</t>
        </is>
      </c>
      <c r="F46" s="7" t="inlineStr">
        <is>
          <t>Pass</t>
        </is>
      </c>
    </row>
    <row r="47" ht="24" customHeight="1">
      <c r="A47" s="4" t="inlineStr">
        <is>
          <t>TC_043</t>
        </is>
      </c>
      <c r="B47" s="5" t="inlineStr">
        <is>
          <t>Product Listing</t>
        </is>
      </c>
      <c r="C47" s="6" t="inlineStr">
        <is>
          <t>Verify total category product count indicator</t>
        </is>
      </c>
      <c r="D47" s="6" t="inlineStr">
        <is>
          <t>1. Observe counter at top of PLP: 'Showing 24 of 180 Products'.</t>
        </is>
      </c>
      <c r="E47" s="6" t="inlineStr">
        <is>
          <t>Displayed count matches active database inventory items.</t>
        </is>
      </c>
      <c r="F47" s="7" t="inlineStr">
        <is>
          <t>Pass</t>
        </is>
      </c>
    </row>
    <row r="48" ht="24" customHeight="1">
      <c r="A48" s="8" t="inlineStr">
        <is>
          <t>TC_044</t>
        </is>
      </c>
      <c r="B48" s="9" t="inlineStr">
        <is>
          <t>Product Listing</t>
        </is>
      </c>
      <c r="C48" s="10" t="inlineStr">
        <is>
          <t>Verify category product count dynamic update when filtering out-of-stock</t>
        </is>
      </c>
      <c r="D48" s="10" t="inlineStr">
        <is>
          <t>1. Check 'Hide Out of Stock' filter checkbox.</t>
        </is>
      </c>
      <c r="E48" s="10" t="inlineStr">
        <is>
          <t>Expected: Counter updates from 180 to 120.
[FAIL]: Counter remains static at 180, showing incorrect total.</t>
        </is>
      </c>
      <c r="F48" s="11" t="inlineStr">
        <is>
          <t>Fail</t>
        </is>
      </c>
    </row>
    <row r="49" ht="24" customHeight="1">
      <c r="A49" s="4" t="inlineStr">
        <is>
          <t>TC_045</t>
        </is>
      </c>
      <c r="B49" s="5" t="inlineStr">
        <is>
          <t>Product Listing</t>
        </is>
      </c>
      <c r="C49" s="6" t="inlineStr">
        <is>
          <t>Verify category pagination controls (Page numbers &amp; Next)</t>
        </is>
      </c>
      <c r="D49" s="6" t="inlineStr">
        <is>
          <t>1. Scroll to bottom of category. 2. Click 'Page 2'.</t>
        </is>
      </c>
      <c r="E49" s="6" t="inlineStr">
        <is>
          <t>Page 2 items load smoothly; viewport auto-scrolls to top of grid.</t>
        </is>
      </c>
      <c r="F49" s="7" t="inlineStr">
        <is>
          <t>Pass</t>
        </is>
      </c>
    </row>
    <row r="50" ht="24" customHeight="1">
      <c r="A50" s="8" t="inlineStr">
        <is>
          <t>TC_046</t>
        </is>
      </c>
      <c r="B50" s="9" t="inlineStr">
        <is>
          <t>Product Listing</t>
        </is>
      </c>
      <c r="C50" s="10" t="inlineStr">
        <is>
          <t>Verify category infinite scrolling under high product volume (&gt;500 items)</t>
        </is>
      </c>
      <c r="D50" s="10" t="inlineStr">
        <is>
          <t>1. Rapidly scroll down to page 5 in 'Home &amp; Kitchen'.</t>
        </is>
      </c>
      <c r="E50" s="10" t="inlineStr">
        <is>
          <t>Expected: Progressive lazy loading of next batch.
[FAIL]: Browser memory leak causes tab freeze; duplicate items injected.</t>
        </is>
      </c>
      <c r="F50" s="11" t="inlineStr">
        <is>
          <t>Fail</t>
        </is>
      </c>
    </row>
    <row r="51" ht="24" customHeight="1">
      <c r="A51" s="4" t="inlineStr">
        <is>
          <t>TC_047</t>
        </is>
      </c>
      <c r="B51" s="5" t="inlineStr">
        <is>
          <t>Product Listing</t>
        </is>
      </c>
      <c r="C51" s="6" t="inlineStr">
        <is>
          <t>Verify sorting products by Price: Low to High</t>
        </is>
      </c>
      <c r="D51" s="6" t="inlineStr">
        <is>
          <t>1. Select Sort dropdown: 'Price: Low to High'.</t>
        </is>
      </c>
      <c r="E51" s="6" t="inlineStr">
        <is>
          <t>Products rearrange strictly in ascending order based on effective discounted price.</t>
        </is>
      </c>
      <c r="F51" s="7" t="inlineStr">
        <is>
          <t>Pass</t>
        </is>
      </c>
    </row>
    <row r="52" ht="24" customHeight="1">
      <c r="A52" s="8" t="inlineStr">
        <is>
          <t>TC_048</t>
        </is>
      </c>
      <c r="B52" s="9" t="inlineStr">
        <is>
          <t>Product Listing</t>
        </is>
      </c>
      <c r="C52" s="10" t="inlineStr">
        <is>
          <t>Verify sorting products by Price: High to Low</t>
        </is>
      </c>
      <c r="D52" s="10" t="inlineStr">
        <is>
          <t>1. Select Sort dropdown: 'Price: High to Low'.</t>
        </is>
      </c>
      <c r="E52" s="10" t="inlineStr">
        <is>
          <t>Products rearrange in strict descending order based on discounted price.</t>
        </is>
      </c>
      <c r="F52" s="7" t="inlineStr">
        <is>
          <t>Pass</t>
        </is>
      </c>
    </row>
    <row r="53" ht="24" customHeight="1">
      <c r="A53" s="4" t="inlineStr">
        <is>
          <t>TC_049</t>
        </is>
      </c>
      <c r="B53" s="5" t="inlineStr">
        <is>
          <t>Product Listing</t>
        </is>
      </c>
      <c r="C53" s="6" t="inlineStr">
        <is>
          <t>Verify sorting products by Discount Percentage</t>
        </is>
      </c>
      <c r="D53" s="6" t="inlineStr">
        <is>
          <t>1. Select Sort dropdown: 'Discount: High to Low'.</t>
        </is>
      </c>
      <c r="E53" s="6" t="inlineStr">
        <is>
          <t>Products with maximum discount percentages appear at top of list.</t>
        </is>
      </c>
      <c r="F53" s="7" t="inlineStr">
        <is>
          <t>Pass</t>
        </is>
      </c>
    </row>
    <row r="54" ht="24" customHeight="1">
      <c r="A54" s="8" t="inlineStr">
        <is>
          <t>TC_050</t>
        </is>
      </c>
      <c r="B54" s="9" t="inlineStr">
        <is>
          <t>Product Listing</t>
        </is>
      </c>
      <c r="C54" s="10" t="inlineStr">
        <is>
          <t>Verify quick 'Add to Cart' directly from category product card</t>
        </is>
      </c>
      <c r="D54" s="10" t="inlineStr">
        <is>
          <t>1. Click 'Add' on first product card.</t>
        </is>
      </c>
      <c r="E54" s="10" t="inlineStr">
        <is>
          <t>Quantity selector [- 1 +] appears; cart count badge in header updates to 1.</t>
        </is>
      </c>
      <c r="F54" s="7" t="inlineStr">
        <is>
          <t>Pass</t>
        </is>
      </c>
    </row>
    <row r="55" ht="24" customHeight="1">
      <c r="A55" s="4" t="inlineStr">
        <is>
          <t>TC_051</t>
        </is>
      </c>
      <c r="B55" s="5" t="inlineStr">
        <is>
          <t>Product Listing</t>
        </is>
      </c>
      <c r="C55" s="6" t="inlineStr">
        <is>
          <t>Verify 'Out of Stock' badge on unavailable items</t>
        </is>
      </c>
      <c r="D55" s="6" t="inlineStr">
        <is>
          <t>1. Locate zero inventory product in category.</t>
        </is>
      </c>
      <c r="E55" s="6" t="inlineStr">
        <is>
          <t>Card displays dimmed overlay with 'Out of Stock' label; Add button disabled.</t>
        </is>
      </c>
      <c r="F55" s="7" t="inlineStr">
        <is>
          <t>Pass</t>
        </is>
      </c>
    </row>
    <row r="56" ht="24" customHeight="1">
      <c r="A56" s="8" t="inlineStr">
        <is>
          <t>TC_052</t>
        </is>
      </c>
      <c r="B56" s="9" t="inlineStr">
        <is>
          <t>Product Listing</t>
        </is>
      </c>
      <c r="C56" s="10" t="inlineStr">
        <is>
          <t>Verify 'Sponsored' promotional badge on featured items</t>
        </is>
      </c>
      <c r="D56" s="10" t="inlineStr">
        <is>
          <t>1. Inspect top row in category listing.</t>
        </is>
      </c>
      <c r="E56" s="10" t="inlineStr">
        <is>
          <t>Promoted items display compliant subtle 'Sponsored' label.</t>
        </is>
      </c>
      <c r="F56" s="7" t="inlineStr">
        <is>
          <t>Pass</t>
        </is>
      </c>
    </row>
    <row r="57" ht="24" customHeight="1">
      <c r="A57" s="4" t="inlineStr">
        <is>
          <t>TC_053</t>
        </is>
      </c>
      <c r="B57" s="5" t="inlineStr">
        <is>
          <t>Product Listing</t>
        </is>
      </c>
      <c r="C57" s="6" t="inlineStr">
        <is>
          <t>Verify wishlist heart icon toggle on category product card</t>
        </is>
      </c>
      <c r="D57" s="6" t="inlineStr">
        <is>
          <t>1. Click heart icon on product card.</t>
        </is>
      </c>
      <c r="E57" s="6" t="inlineStr">
        <is>
          <t>Heart icon fills solid red; product saved to customer wishlist.</t>
        </is>
      </c>
      <c r="F57" s="7" t="inlineStr">
        <is>
          <t>Pass</t>
        </is>
      </c>
    </row>
    <row r="58" ht="24" customHeight="1">
      <c r="A58" s="8" t="inlineStr">
        <is>
          <t>TC_054</t>
        </is>
      </c>
      <c r="B58" s="9" t="inlineStr">
        <is>
          <t>Product Listing</t>
        </is>
      </c>
      <c r="C58" s="10" t="inlineStr">
        <is>
          <t>Verify lazy loading of category product images</t>
        </is>
      </c>
      <c r="D58" s="10" t="inlineStr">
        <is>
          <t>1. Scroll rapidly through 50 product cards.</t>
        </is>
      </c>
      <c r="E58" s="10" t="inlineStr">
        <is>
          <t>Thumbnail images load progressively via lazy loading without blocking the main browser thread.</t>
        </is>
      </c>
      <c r="F58" s="7" t="inlineStr">
        <is>
          <t>Pass</t>
        </is>
      </c>
    </row>
    <row r="59" ht="24" customHeight="1">
      <c r="A59" s="4" t="inlineStr">
        <is>
          <t>TC_055</t>
        </is>
      </c>
      <c r="B59" s="5" t="inlineStr">
        <is>
          <t>Filters &amp; Facets</t>
        </is>
      </c>
      <c r="C59" s="6" t="inlineStr">
        <is>
          <t>Verify single brand filter selection</t>
        </is>
      </c>
      <c r="D59" s="6" t="inlineStr">
        <is>
          <t>1. In 'Groceries', check Brand: 'Amul'.</t>
        </is>
      </c>
      <c r="E59" s="6" t="inlineStr">
        <is>
          <t>Listing immediately refreshes to display exclusively Amul products.</t>
        </is>
      </c>
      <c r="F59" s="7" t="inlineStr">
        <is>
          <t>Pass</t>
        </is>
      </c>
    </row>
    <row r="60" ht="24" customHeight="1">
      <c r="A60" s="8" t="inlineStr">
        <is>
          <t>TC_056</t>
        </is>
      </c>
      <c r="B60" s="9" t="inlineStr">
        <is>
          <t>Filters &amp; Facets</t>
        </is>
      </c>
      <c r="C60" s="10" t="inlineStr">
        <is>
          <t>Verify multi-brand selection (Boolean OR logic)</t>
        </is>
      </c>
      <c r="D60" s="10" t="inlineStr">
        <is>
          <t>1. Check Brand: 'Amul' and 'Mother Dairy'.</t>
        </is>
      </c>
      <c r="E60" s="10" t="inlineStr">
        <is>
          <t>Listing displays products from either Amul OR Mother Dairy.</t>
        </is>
      </c>
      <c r="F60" s="7" t="inlineStr">
        <is>
          <t>Pass</t>
        </is>
      </c>
    </row>
    <row r="61" ht="24" customHeight="1">
      <c r="A61" s="4" t="inlineStr">
        <is>
          <t>TC_057</t>
        </is>
      </c>
      <c r="B61" s="5" t="inlineStr">
        <is>
          <t>Filters &amp; Facets</t>
        </is>
      </c>
      <c r="C61" s="6" t="inlineStr">
        <is>
          <t>Verify price range slider filter application</t>
        </is>
      </c>
      <c r="D61" s="6" t="inlineStr">
        <is>
          <t>1. Drag slider to range ₹100 - ₹500.</t>
        </is>
      </c>
      <c r="E61" s="6" t="inlineStr">
        <is>
          <t>Products within selected price boundary are displayed; counter updates.</t>
        </is>
      </c>
      <c r="F61" s="7" t="inlineStr">
        <is>
          <t>Pass</t>
        </is>
      </c>
    </row>
    <row r="62" ht="24" customHeight="1">
      <c r="A62" s="8" t="inlineStr">
        <is>
          <t>TC_058</t>
        </is>
      </c>
      <c r="B62" s="9" t="inlineStr">
        <is>
          <t>Filters &amp; Facets</t>
        </is>
      </c>
      <c r="C62" s="10" t="inlineStr">
        <is>
          <t>Verify discount filter threshold checkbox</t>
        </is>
      </c>
      <c r="D62" s="10" t="inlineStr">
        <is>
          <t>1. Select discount filter '30% or more'.</t>
        </is>
      </c>
      <c r="E62" s="10" t="inlineStr">
        <is>
          <t>Only products with discount tag &gt;= 30% are retained in listing.</t>
        </is>
      </c>
      <c r="F62" s="7" t="inlineStr">
        <is>
          <t>Pass</t>
        </is>
      </c>
    </row>
    <row r="63" ht="24" customHeight="1">
      <c r="A63" s="4" t="inlineStr">
        <is>
          <t>TC_059</t>
        </is>
      </c>
      <c r="B63" s="5" t="inlineStr">
        <is>
          <t>Filters &amp; Facets</t>
        </is>
      </c>
      <c r="C63" s="6" t="inlineStr">
        <is>
          <t>Verify dietary preference filter (Vegetarian toggle)</t>
        </is>
      </c>
      <c r="D63" s="6" t="inlineStr">
        <is>
          <t>1. Toggle 'Vegetarian' switch.</t>
        </is>
      </c>
      <c r="E63" s="6" t="inlineStr">
        <is>
          <t>All non-veg and egg products are removed; green veg icons verified.</t>
        </is>
      </c>
      <c r="F63" s="7" t="inlineStr">
        <is>
          <t>Pass</t>
        </is>
      </c>
    </row>
    <row r="64" ht="24" customHeight="1">
      <c r="A64" s="8" t="inlineStr">
        <is>
          <t>TC_060</t>
        </is>
      </c>
      <c r="B64" s="9" t="inlineStr">
        <is>
          <t>Filters &amp; Facets</t>
        </is>
      </c>
      <c r="C64" s="10" t="inlineStr">
        <is>
          <t>Verify 'Clear All' filters reset button</t>
        </is>
      </c>
      <c r="D64" s="10" t="inlineStr">
        <is>
          <t>1. Apply 3 filters. 2. Click 'Clear All'.</t>
        </is>
      </c>
      <c r="E64" s="10" t="inlineStr">
        <is>
          <t>All filters reset to default state; complete subcategory listing restored.</t>
        </is>
      </c>
      <c r="F64" s="7" t="inlineStr">
        <is>
          <t>Pass</t>
        </is>
      </c>
    </row>
    <row r="65" ht="24" customHeight="1">
      <c r="A65" s="4" t="inlineStr">
        <is>
          <t>TC_061</t>
        </is>
      </c>
      <c r="B65" s="5" t="inlineStr">
        <is>
          <t>Filters &amp; Facets</t>
        </is>
      </c>
      <c r="C65" s="6" t="inlineStr">
        <is>
          <t>Verify individual filter tag chip dismissal</t>
        </is>
      </c>
      <c r="D65" s="6" t="inlineStr">
        <is>
          <t>1. Apply Brand: 'Britannia' and 'Parle'. 2. Click 'x' on 'Britannia'.</t>
        </is>
      </c>
      <c r="E65" s="6" t="inlineStr">
        <is>
          <t>'Britannia' chip dismissed; 'Parle' remains active with updated list.</t>
        </is>
      </c>
      <c r="F65" s="7" t="inlineStr">
        <is>
          <t>Pass</t>
        </is>
      </c>
    </row>
    <row r="66" ht="24" customHeight="1">
      <c r="A66" s="8" t="inlineStr">
        <is>
          <t>TC_062</t>
        </is>
      </c>
      <c r="B66" s="9" t="inlineStr">
        <is>
          <t>Filters &amp; Facets</t>
        </is>
      </c>
      <c r="C66" s="10" t="inlineStr">
        <is>
          <t>Verify active filter count badge on mobile floating button</t>
        </is>
      </c>
      <c r="D66" s="10" t="inlineStr">
        <is>
          <t>1. On mobile view, select 2 filters. 2. Apply.</t>
        </is>
      </c>
      <c r="E66" s="10" t="inlineStr">
        <is>
          <t>Floating filter button reflects badge '(2)' indicating active filters count.</t>
        </is>
      </c>
      <c r="F66" s="7" t="inlineStr">
        <is>
          <t>Pass</t>
        </is>
      </c>
    </row>
    <row r="67" ht="24" customHeight="1">
      <c r="A67" s="4" t="inlineStr">
        <is>
          <t>TC_063</t>
        </is>
      </c>
      <c r="B67" s="5" t="inlineStr">
        <is>
          <t>Filters &amp; Facets</t>
        </is>
      </c>
      <c r="C67" s="6" t="inlineStr">
        <is>
          <t>Verify contradictory filter combination empty state</t>
        </is>
      </c>
      <c r="D67" s="6" t="inlineStr">
        <is>
          <t>1. Select contradictory filters: Price &lt; ₹10 AND Brand: Apple.</t>
        </is>
      </c>
      <c r="E67" s="6" t="inlineStr">
        <is>
          <t>Informative empty state displays: 'No products found matching your filters' with a Reset button.</t>
        </is>
      </c>
      <c r="F67" s="7" t="inlineStr">
        <is>
          <t>Pass</t>
        </is>
      </c>
    </row>
    <row r="68" ht="24" customHeight="1">
      <c r="A68" s="8" t="inlineStr">
        <is>
          <t>TC_064</t>
        </is>
      </c>
      <c r="B68" s="9" t="inlineStr">
        <is>
          <t>In-Category Search</t>
        </is>
      </c>
      <c r="C68" s="10" t="inlineStr">
        <is>
          <t>Verify searching keyword scoped inside current category</t>
        </is>
      </c>
      <c r="D68" s="10" t="inlineStr">
        <is>
          <t>1. Inside 'Electronics', type 'Earbuds' in category search bar.</t>
        </is>
      </c>
      <c r="E68" s="10" t="inlineStr">
        <is>
          <t>Search query scoped strictly to Electronics; displays earbuds and headphones.</t>
        </is>
      </c>
      <c r="F68" s="7" t="inlineStr">
        <is>
          <t>Pass</t>
        </is>
      </c>
    </row>
    <row r="69" ht="24" customHeight="1">
      <c r="A69" s="4" t="inlineStr">
        <is>
          <t>TC_065</t>
        </is>
      </c>
      <c r="B69" s="5" t="inlineStr">
        <is>
          <t>In-Category Search</t>
        </is>
      </c>
      <c r="C69" s="6" t="inlineStr">
        <is>
          <t>Verify category search auto-suggestions dropdown</t>
        </is>
      </c>
      <c r="D69" s="6" t="inlineStr">
        <is>
          <t>1. Type 'Bas' in Groceries search bar.</t>
        </is>
      </c>
      <c r="E69" s="6" t="inlineStr">
        <is>
          <t>Dropdown suggests 'Basmati Rice', 'Baking Powder' with category tags.</t>
        </is>
      </c>
      <c r="F69" s="7" t="inlineStr">
        <is>
          <t>Pass</t>
        </is>
      </c>
    </row>
    <row r="70" ht="24" customHeight="1">
      <c r="A70" s="8" t="inlineStr">
        <is>
          <t>TC_066</t>
        </is>
      </c>
      <c r="B70" s="9" t="inlineStr">
        <is>
          <t>In-Category Search</t>
        </is>
      </c>
      <c r="C70" s="10" t="inlineStr">
        <is>
          <t>Verify in-category search with special characters (&amp;, %, #)</t>
        </is>
      </c>
      <c r="D70" s="10" t="inlineStr">
        <is>
          <t>1. Inside 'Groceries', search 'Salt &amp; Pepper %'.</t>
        </is>
      </c>
      <c r="E70" s="10" t="inlineStr">
        <is>
          <t>Expected: Sanitized search returns matching condiments.
[FAIL]: Server throws HTTP 500 Internal Server Error.</t>
        </is>
      </c>
      <c r="F70" s="11" t="inlineStr">
        <is>
          <t>Fail</t>
        </is>
      </c>
    </row>
    <row r="71" ht="24" customHeight="1">
      <c r="A71" s="4" t="inlineStr">
        <is>
          <t>TC_067</t>
        </is>
      </c>
      <c r="B71" s="5" t="inlineStr">
        <is>
          <t>Navigation History</t>
        </is>
      </c>
      <c r="C71" s="6" t="inlineStr">
        <is>
          <t>Verify browser Back button preserves previous category page</t>
        </is>
      </c>
      <c r="D71" s="6" t="inlineStr">
        <is>
          <t>1. Navigate: Home -&gt; Groceries -&gt; Rice. 2. Click browser Back.</t>
        </is>
      </c>
      <c r="E71" s="6" t="inlineStr">
        <is>
          <t>Returns to 'Groceries' landing page with previous scroll position intact.</t>
        </is>
      </c>
      <c r="F71" s="7" t="inlineStr">
        <is>
          <t>Pass</t>
        </is>
      </c>
    </row>
    <row r="72" ht="24" customHeight="1">
      <c r="A72" s="8" t="inlineStr">
        <is>
          <t>TC_068</t>
        </is>
      </c>
      <c r="B72" s="9" t="inlineStr">
        <is>
          <t>Navigation History</t>
        </is>
      </c>
      <c r="C72" s="10" t="inlineStr">
        <is>
          <t>Verify browser Forward button after navigating back</t>
        </is>
      </c>
      <c r="D72" s="10" t="inlineStr">
        <is>
          <t>1. From 'Groceries', click browser Forward button.</t>
        </is>
      </c>
      <c r="E72" s="10" t="inlineStr">
        <is>
          <t>Re-opens 'Rice' subcategory page with products loaded cleanly.</t>
        </is>
      </c>
      <c r="F72" s="7" t="inlineStr">
        <is>
          <t>Pass</t>
        </is>
      </c>
    </row>
    <row r="73" ht="24" customHeight="1">
      <c r="A73" s="4" t="inlineStr">
        <is>
          <t>TC_069</t>
        </is>
      </c>
      <c r="B73" s="5" t="inlineStr">
        <is>
          <t>Navigation History</t>
        </is>
      </c>
      <c r="C73" s="6" t="inlineStr">
        <is>
          <t>Verify back button retains active filters and page number</t>
        </is>
      </c>
      <c r="D73" s="6" t="inlineStr">
        <is>
          <t>1. Filter by Brand: 'Dawat' on Page 2. 2. Open PDP. 3. Click Back.</t>
        </is>
      </c>
      <c r="E73" s="6" t="inlineStr">
        <is>
          <t>Expected: Returns to Page 2 with 'Dawat' filter checked.
[FAIL]: Page resets to Page 1 with all filters wiped out.</t>
        </is>
      </c>
      <c r="F73" s="11" t="inlineStr">
        <is>
          <t>Fail</t>
        </is>
      </c>
    </row>
    <row r="74" ht="24" customHeight="1">
      <c r="A74" s="8" t="inlineStr">
        <is>
          <t>TC_070</t>
        </is>
      </c>
      <c r="B74" s="9" t="inlineStr">
        <is>
          <t>Navigation History</t>
        </is>
      </c>
      <c r="C74" s="10" t="inlineStr">
        <is>
          <t>Verify back button navigation on Safari iOS mobile</t>
        </is>
      </c>
      <c r="D74" s="10" t="inlineStr">
        <is>
          <t>1. Navigate: Home -&gt; Groceries -&gt; Biscuits on iOS Safari. 2. Swipe right to go back.</t>
        </is>
      </c>
      <c r="E74" s="10" t="inlineStr">
        <is>
          <t>Expected: Smooth slide transition back to Groceries.
[FAIL]: Screen renders blank white canvas requiring hard reload.</t>
        </is>
      </c>
      <c r="F74" s="11" t="inlineStr">
        <is>
          <t>Fail</t>
        </is>
      </c>
    </row>
    <row r="75" ht="24" customHeight="1">
      <c r="A75" s="4" t="inlineStr">
        <is>
          <t>TC_071</t>
        </is>
      </c>
      <c r="B75" s="5" t="inlineStr">
        <is>
          <t>Subcategory Drawer</t>
        </is>
      </c>
      <c r="C75" s="6" t="inlineStr">
        <is>
          <t>Verify rapid multi-hover switching between categories</t>
        </is>
      </c>
      <c r="D75" s="6" t="inlineStr">
        <is>
          <t>1. Rapidly move mouse across 6 categories within 1 second.</t>
        </is>
      </c>
      <c r="E75" s="6" t="inlineStr">
        <is>
          <t>Expected: Smooth debounce transitions.
[FAIL]: Hover debounce fails; multiple drawers get stuck open simultaneously.</t>
        </is>
      </c>
      <c r="F75" s="11" t="inlineStr">
        <is>
          <t>Fail</t>
        </is>
      </c>
    </row>
    <row r="76" ht="24" customHeight="1">
      <c r="A76" s="8" t="inlineStr">
        <is>
          <t>TC_072</t>
        </is>
      </c>
      <c r="B76" s="9" t="inlineStr">
        <is>
          <t>Mobile Navigation</t>
        </is>
      </c>
      <c r="C76" s="10" t="inlineStr">
        <is>
          <t>Verify closing mobile category drawer via Android hardware back key</t>
        </is>
      </c>
      <c r="D76" s="10" t="inlineStr">
        <is>
          <t>1. Open category drawer on Android Chrome. 2. Press hardware back button.</t>
        </is>
      </c>
      <c r="E76" s="10" t="inlineStr">
        <is>
          <t>Expected: Dismisses drawer overlay.
[FAIL]: Closes browser tab instead of closing drawer modal.</t>
        </is>
      </c>
      <c r="F76" s="11" t="inlineStr">
        <is>
          <t>Fail</t>
        </is>
      </c>
    </row>
    <row r="77" ht="24" customHeight="1">
      <c r="A77" s="4" t="inlineStr">
        <is>
          <t>TC_073</t>
        </is>
      </c>
      <c r="B77" s="5" t="inlineStr">
        <is>
          <t>Navigation History</t>
        </is>
      </c>
      <c r="C77" s="6" t="inlineStr">
        <is>
          <t>Verify back button sequential unwinding from deep browsing</t>
        </is>
      </c>
      <c r="D77" s="6" t="inlineStr">
        <is>
          <t>1. Browse through 4 subcategories. 2. Click Back sequentially.</t>
        </is>
      </c>
      <c r="E77" s="6" t="inlineStr">
        <is>
          <t>Browser history unwinds in exact reverse chronological order.</t>
        </is>
      </c>
      <c r="F77" s="7" t="inlineStr">
        <is>
          <t>Pass</t>
        </is>
      </c>
    </row>
    <row r="78" ht="24" customHeight="1">
      <c r="A78" s="8" t="inlineStr">
        <is>
          <t>TC_074</t>
        </is>
      </c>
      <c r="B78" s="9" t="inlineStr">
        <is>
          <t>Category Display</t>
        </is>
      </c>
      <c r="C78" s="10" t="inlineStr">
        <is>
          <t>Verify category card hover animation smoothness</t>
        </is>
      </c>
      <c r="D78" s="10" t="inlineStr">
        <is>
          <t>1. Hover over category cards on desktop.</t>
        </is>
      </c>
      <c r="E78" s="10" t="inlineStr">
        <is>
          <t>Subtle elevation shadow and zoom animation render at 60 FPS.</t>
        </is>
      </c>
      <c r="F78" s="7" t="inlineStr">
        <is>
          <t>Pass</t>
        </is>
      </c>
    </row>
    <row r="79" ht="24" customHeight="1">
      <c r="A79" s="4" t="inlineStr">
        <is>
          <t>TC_075</t>
        </is>
      </c>
      <c r="B79" s="5" t="inlineStr">
        <is>
          <t>Selection &amp; Routing</t>
        </is>
      </c>
      <c r="C79" s="6" t="inlineStr">
        <is>
          <t>Verify category redirection on authenticated enterprise buyer</t>
        </is>
      </c>
      <c r="D79" s="6" t="inlineStr">
        <is>
          <t>1. Log in with B2B wholesale account. 2. Open 'Industrial Supplies'.</t>
        </is>
      </c>
      <c r="E79" s="6" t="inlineStr">
        <is>
          <t>Category displays wholesale bulk pricing tiers and MOQ badges.</t>
        </is>
      </c>
      <c r="F79" s="7" t="inlineStr">
        <is>
          <t>Pass</t>
        </is>
      </c>
    </row>
    <row r="80" ht="24" customHeight="1">
      <c r="A80" s="8" t="inlineStr">
        <is>
          <t>TC_076</t>
        </is>
      </c>
      <c r="B80" s="9" t="inlineStr">
        <is>
          <t>Cross-Browser</t>
        </is>
      </c>
      <c r="C80" s="10" t="inlineStr">
        <is>
          <t>Verify category dropdown on Chrome and Firefox latest</t>
        </is>
      </c>
      <c r="D80" s="10" t="inlineStr">
        <is>
          <t>1. Open category menu on Chrome v120 and Firefox v121.</t>
        </is>
      </c>
      <c r="E80" s="10" t="inlineStr">
        <is>
          <t>Visual layout, fonts, and dropdown triggers work identically across both.</t>
        </is>
      </c>
      <c r="F80" s="7" t="inlineStr">
        <is>
          <t>Pass</t>
        </is>
      </c>
    </row>
    <row r="81" ht="24" customHeight="1">
      <c r="A81" s="4" t="inlineStr">
        <is>
          <t>TC_077</t>
        </is>
      </c>
      <c r="B81" s="5" t="inlineStr">
        <is>
          <t>Cross-Browser</t>
        </is>
      </c>
      <c r="C81" s="6" t="inlineStr">
        <is>
          <t>Verify category dropdown on Microsoft Edge</t>
        </is>
      </c>
      <c r="D81" s="6" t="inlineStr">
        <is>
          <t>1. Open category navigation on MS Edge.</t>
        </is>
      </c>
      <c r="E81" s="6" t="inlineStr">
        <is>
          <t>All subcategories and banners render without alignment defects.</t>
        </is>
      </c>
      <c r="F81" s="7" t="inlineStr">
        <is>
          <t>Pass</t>
        </is>
      </c>
    </row>
    <row r="82" ht="24" customHeight="1">
      <c r="A82" s="8" t="inlineStr">
        <is>
          <t>TC_078</t>
        </is>
      </c>
      <c r="B82" s="9" t="inlineStr">
        <is>
          <t>Cross-Browser</t>
        </is>
      </c>
      <c r="C82" s="10" t="inlineStr">
        <is>
          <t>Verify category dropdown on legacy browser: Firefox ESR</t>
        </is>
      </c>
      <c r="D82" s="10" t="inlineStr">
        <is>
          <t>1. Open category navigation on Firefox ESR v102.</t>
        </is>
      </c>
      <c r="E82" s="10" t="inlineStr">
        <is>
          <t>Pending execution scheduled for Legacy Browser Compatibility matrix.</t>
        </is>
      </c>
      <c r="F82" s="12" t="inlineStr">
        <is>
          <t>Pending</t>
        </is>
      </c>
    </row>
    <row r="83" ht="24" customHeight="1">
      <c r="A83" s="4" t="inlineStr">
        <is>
          <t>TC_079</t>
        </is>
      </c>
      <c r="B83" s="5" t="inlineStr">
        <is>
          <t>Tablet Testing</t>
        </is>
      </c>
      <c r="C83" s="6" t="inlineStr">
        <is>
          <t>Verify category navigation on tablet resolution: iPad Air (Safari)</t>
        </is>
      </c>
      <c r="D83" s="6" t="inlineStr">
        <is>
          <t>1. Load portal on iPad Air 10.9-inch portrait view.</t>
        </is>
      </c>
      <c r="E83" s="6" t="inlineStr">
        <is>
          <t>Pending execution scheduled for Physical Device Lab sprint.</t>
        </is>
      </c>
      <c r="F83" s="12" t="inlineStr">
        <is>
          <t>Pending</t>
        </is>
      </c>
    </row>
    <row r="84" ht="24" customHeight="1">
      <c r="A84" s="8" t="inlineStr">
        <is>
          <t>TC_080</t>
        </is>
      </c>
      <c r="B84" s="9" t="inlineStr">
        <is>
          <t>Foldable Testing</t>
        </is>
      </c>
      <c r="C84" s="10" t="inlineStr">
        <is>
          <t>Verify category sidebar layout on Samsung Galaxy Z Fold</t>
        </is>
      </c>
      <c r="D84" s="10" t="inlineStr">
        <is>
          <t>1. Unfold device to 7.6-inch display aspect ratio.</t>
        </is>
      </c>
      <c r="E84" s="10" t="inlineStr">
        <is>
          <t>Pending execution scheduled for Foldable Device Lab cycle.</t>
        </is>
      </c>
      <c r="F84" s="12" t="inlineStr">
        <is>
          <t>Pending</t>
        </is>
      </c>
    </row>
    <row r="85" ht="24" customHeight="1">
      <c r="A85" s="4" t="inlineStr">
        <is>
          <t>TC_081</t>
        </is>
      </c>
      <c r="B85" s="5" t="inlineStr">
        <is>
          <t>Security &amp; PenTest</t>
        </is>
      </c>
      <c r="C85" s="6" t="inlineStr">
        <is>
          <t>Verify Cross-Site Scripting (XSS) immunity in category URL parameters</t>
        </is>
      </c>
      <c r="D85" s="6" t="inlineStr">
        <is>
          <t>1. Inject &lt;script&gt;alert(1)&lt;/script&gt; into category query string.</t>
        </is>
      </c>
      <c r="E85" s="6" t="inlineStr">
        <is>
          <t>Pending execution scheduled for Security &amp; Penetration Testing phase.</t>
        </is>
      </c>
      <c r="F85" s="12" t="inlineStr">
        <is>
          <t>Pending</t>
        </is>
      </c>
    </row>
    <row r="86" ht="24" customHeight="1">
      <c r="A86" s="8" t="inlineStr">
        <is>
          <t>TC_082</t>
        </is>
      </c>
      <c r="B86" s="9" t="inlineStr">
        <is>
          <t>Security &amp; PenTest</t>
        </is>
      </c>
      <c r="C86" s="10" t="inlineStr">
        <is>
          <t>Verify SQL injection immunity on subcategory filter parameters</t>
        </is>
      </c>
      <c r="D86" s="10" t="inlineStr">
        <is>
          <t>1. Pass SQL injection strings to filter API.</t>
        </is>
      </c>
      <c r="E86" s="10" t="inlineStr">
        <is>
          <t>Pending execution scheduled for Security &amp; Penetration Testing phase.</t>
        </is>
      </c>
      <c r="F86" s="12" t="inlineStr">
        <is>
          <t>Pending</t>
        </is>
      </c>
    </row>
    <row r="87" ht="24" customHeight="1">
      <c r="A87" s="4" t="inlineStr">
        <is>
          <t>TC_083</t>
        </is>
      </c>
      <c r="B87" s="5" t="inlineStr">
        <is>
          <t>Performance &amp; Load</t>
        </is>
      </c>
      <c r="C87" s="6" t="inlineStr">
        <is>
          <t>Verify category page load under 5,000 simulated concurrent users (JMeter)</t>
        </is>
      </c>
      <c r="D87" s="6" t="inlineStr">
        <is>
          <t>1. Execute JMeter load scenario on category API.</t>
        </is>
      </c>
      <c r="E87" s="6" t="inlineStr">
        <is>
          <t>Pending execution scheduled for Pre-Production Stress Testing cycle.</t>
        </is>
      </c>
      <c r="F87" s="12" t="inlineStr">
        <is>
          <t>Pending</t>
        </is>
      </c>
    </row>
    <row r="88" ht="24" customHeight="1">
      <c r="A88" s="8" t="inlineStr">
        <is>
          <t>TC_084</t>
        </is>
      </c>
      <c r="B88" s="9" t="inlineStr">
        <is>
          <t>Performance &amp; CDN</t>
        </is>
      </c>
      <c r="C88" s="10" t="inlineStr">
        <is>
          <t>Verify category API caching and CDN edge response time (&lt;50ms)</t>
        </is>
      </c>
      <c r="D88" s="10" t="inlineStr">
        <is>
          <t>1. Inspect Cloudflare/CDN cache-control headers on category API.</t>
        </is>
      </c>
      <c r="E88" s="10" t="inlineStr">
        <is>
          <t>Pending execution scheduled for CDN Edge Caching audit.</t>
        </is>
      </c>
      <c r="F88" s="12" t="inlineStr">
        <is>
          <t>Pending</t>
        </is>
      </c>
    </row>
    <row r="89" ht="24" customHeight="1">
      <c r="A89" s="4" t="inlineStr">
        <is>
          <t>TC_085</t>
        </is>
      </c>
      <c r="B89" s="5" t="inlineStr">
        <is>
          <t>SEO &amp; Web Crawling</t>
        </is>
      </c>
      <c r="C89" s="6" t="inlineStr">
        <is>
          <t>Verify XML sitemap contains all category canonical URLs</t>
        </is>
      </c>
      <c r="D89" s="6" t="inlineStr">
        <is>
          <t>1. Fetch /sitemap-categories.xml. 2. Validate URLs.</t>
        </is>
      </c>
      <c r="E89" s="6" t="inlineStr">
        <is>
          <t>Pending execution scheduled for SEO Production Crawl verification.</t>
        </is>
      </c>
      <c r="F89" s="12" t="inlineStr">
        <is>
          <t>Pending</t>
        </is>
      </c>
    </row>
    <row r="90" ht="24" customHeight="1">
      <c r="A90" s="8" t="inlineStr">
        <is>
          <t>TC_086</t>
        </is>
      </c>
      <c r="B90" s="9" t="inlineStr">
        <is>
          <t>Analytics &amp; Tagging</t>
        </is>
      </c>
      <c r="C90" s="10" t="inlineStr">
        <is>
          <t>Verify GA4 'select_item_list' event on category click</t>
        </is>
      </c>
      <c r="D90" s="10" t="inlineStr">
        <is>
          <t>1. Click subcategory. 2. Verify Google Analytics dataLayer payload.</t>
        </is>
      </c>
      <c r="E90" s="10" t="inlineStr">
        <is>
          <t>Pending execution scheduled for Marketing Tag Management QA sprint.</t>
        </is>
      </c>
      <c r="F90" s="12" t="inlineStr">
        <is>
          <t>Pending</t>
        </is>
      </c>
    </row>
    <row r="91" ht="24" customHeight="1">
      <c r="A91" s="4" t="inlineStr">
        <is>
          <t>TC_087</t>
        </is>
      </c>
      <c r="B91" s="5" t="inlineStr">
        <is>
          <t>Battery Throttling</t>
        </is>
      </c>
      <c r="C91" s="6" t="inlineStr">
        <is>
          <t>Verify category CSS animations under mobile OS Low Power Mode</t>
        </is>
      </c>
      <c r="D91" s="6" t="inlineStr">
        <is>
          <t>1. Enable Low Power Mode on iOS and Android. 2. Observe navigation.</t>
        </is>
      </c>
      <c r="E91" s="6" t="inlineStr">
        <is>
          <t>Pending execution scheduled for Battery Throttling test matrix.</t>
        </is>
      </c>
      <c r="F91" s="12" t="inlineStr">
        <is>
          <t>Pending</t>
        </is>
      </c>
    </row>
    <row r="92" ht="24" customHeight="1">
      <c r="A92" s="8" t="inlineStr">
        <is>
          <t>TC_088</t>
        </is>
      </c>
      <c r="B92" s="9" t="inlineStr">
        <is>
          <t>Offline / PWA</t>
        </is>
      </c>
      <c r="C92" s="10" t="inlineStr">
        <is>
          <t>Verify PWA offline cache behavior when browsing cached categories</t>
        </is>
      </c>
      <c r="D92" s="10" t="inlineStr">
        <is>
          <t>1. Enable Airplane mode. 2. Browse previously visited categories.</t>
        </is>
      </c>
      <c r="E92" s="10" t="inlineStr">
        <is>
          <t>Pending execution scheduled for Progressive Web App (PWA) cycle.</t>
        </is>
      </c>
      <c r="F92" s="12" t="inlineStr">
        <is>
          <t>Pending</t>
        </is>
      </c>
    </row>
    <row r="93" ht="24" customHeight="1">
      <c r="A93" s="4" t="inlineStr">
        <is>
          <t>TC_089</t>
        </is>
      </c>
      <c r="B93" s="5" t="inlineStr">
        <is>
          <t>Voice Search</t>
        </is>
      </c>
      <c r="C93" s="6" t="inlineStr">
        <is>
          <t>Verify in-category voice search transcription accuracy</t>
        </is>
      </c>
      <c r="D93" s="6" t="inlineStr">
        <is>
          <t>1. Tap microphone inside 'Electronics'. 2. Speak search term.</t>
        </is>
      </c>
      <c r="E93" s="6" t="inlineStr">
        <is>
          <t>Pending execution scheduled for AI Voice Recognition testing cycle.</t>
        </is>
      </c>
      <c r="F93" s="12" t="inlineStr">
        <is>
          <t>Pending</t>
        </is>
      </c>
    </row>
    <row r="94" ht="24" customHeight="1">
      <c r="A94" s="8" t="inlineStr">
        <is>
          <t>TC_090</t>
        </is>
      </c>
      <c r="B94" s="9" t="inlineStr">
        <is>
          <t>Internationalization</t>
        </is>
      </c>
      <c r="C94" s="10" t="inlineStr">
        <is>
          <t>Verify Right-to-Left (RTL) layout if Arabic/Urdu support is enabled</t>
        </is>
      </c>
      <c r="D94" s="10" t="inlineStr">
        <is>
          <t>1. Toggle RTL layout. 2. Inspect category sidebar alignment.</t>
        </is>
      </c>
      <c r="E94" s="10" t="inlineStr">
        <is>
          <t>Pending execution scheduled for Future Internationalization phase.</t>
        </is>
      </c>
      <c r="F94" s="12" t="inlineStr">
        <is>
          <t>Pending</t>
        </is>
      </c>
    </row>
    <row r="95" ht="24" customHeight="1">
      <c r="A95" s="4" t="inlineStr">
        <is>
          <t>TC_091</t>
        </is>
      </c>
      <c r="B95" s="5" t="inlineStr">
        <is>
          <t>Geo-Fencing</t>
        </is>
      </c>
      <c r="C95" s="6" t="inlineStr">
        <is>
          <t>Verify category catalog variation for pincodes outside delivery zone</t>
        </is>
      </c>
      <c r="D95" s="6" t="inlineStr">
        <is>
          <t>1. Enter pincode for remote rural region. 2. Observe perishable categories.</t>
        </is>
      </c>
      <c r="E95" s="6" t="inlineStr">
        <is>
          <t>Pending execution scheduled for Geo-Fencing &amp; Logistics sprint.</t>
        </is>
      </c>
      <c r="F95" s="12" t="inlineStr">
        <is>
          <t>Pending</t>
        </is>
      </c>
    </row>
    <row r="96" ht="24" customHeight="1">
      <c r="A96" s="8" t="inlineStr">
        <is>
          <t>TC_092</t>
        </is>
      </c>
      <c r="B96" s="9" t="inlineStr">
        <is>
          <t>A/B Testing</t>
        </is>
      </c>
      <c r="C96" s="10" t="inlineStr">
        <is>
          <t>Verify A/B experiment variant layout for horizontal mega-menu</t>
        </is>
      </c>
      <c r="D96" s="10" t="inlineStr">
        <is>
          <t>1. Pass cookie 'experiment_nav=variant_B'. 2. Verify new layout.</t>
        </is>
      </c>
      <c r="E96" s="10" t="inlineStr">
        <is>
          <t>Pending execution scheduled for Growth &amp; Experimentation release.</t>
        </is>
      </c>
      <c r="F96" s="12" t="inlineStr">
        <is>
          <t>Pending</t>
        </is>
      </c>
    </row>
    <row r="97" ht="24" customHeight="1">
      <c r="A97" s="4" t="inlineStr">
        <is>
          <t>TC_093</t>
        </is>
      </c>
      <c r="B97" s="5" t="inlineStr">
        <is>
          <t>Category Display</t>
        </is>
      </c>
      <c r="C97" s="6" t="inlineStr">
        <is>
          <t>Verify category promotional ribbon tags (e.g. 'Sale', 'New')</t>
        </is>
      </c>
      <c r="D97" s="6" t="inlineStr">
        <is>
          <t>1. Inspect category pills with promotional tags.</t>
        </is>
      </c>
      <c r="E97" s="6" t="inlineStr">
        <is>
          <t>Ribbon badges 'Sale' and 'New' display with correct styling and colors.</t>
        </is>
      </c>
      <c r="F97" s="7" t="inlineStr">
        <is>
          <t>Pass</t>
        </is>
      </c>
    </row>
    <row r="98" ht="24" customHeight="1">
      <c r="A98" s="8" t="inlineStr">
        <is>
          <t>TC_094</t>
        </is>
      </c>
      <c r="B98" s="9" t="inlineStr">
        <is>
          <t>Breadcrumbs</t>
        </is>
      </c>
      <c r="C98" s="10" t="inlineStr">
        <is>
          <t>Verify breadcrumbs update when changing subcategory pills</t>
        </is>
      </c>
      <c r="D98" s="10" t="inlineStr">
        <is>
          <t>1. On 'Beverages' page, click chip 'Coffee'.</t>
        </is>
      </c>
      <c r="E98" s="10" t="inlineStr">
        <is>
          <t>Breadcrumbs update dynamically to 'Home &gt; Groceries &gt; Beverages &gt; Coffee'.</t>
        </is>
      </c>
      <c r="F98" s="7" t="inlineStr">
        <is>
          <t>Pass</t>
        </is>
      </c>
    </row>
    <row r="99" ht="24" customHeight="1">
      <c r="A99" s="4" t="inlineStr">
        <is>
          <t>TC_095</t>
        </is>
      </c>
      <c r="B99" s="5" t="inlineStr">
        <is>
          <t>Accessibility</t>
        </is>
      </c>
      <c r="C99" s="6" t="inlineStr">
        <is>
          <t>Verify screen reader (NVDA/TalkBack) announcement of category menu</t>
        </is>
      </c>
      <c r="D99" s="6" t="inlineStr">
        <is>
          <t>1. Turn on screen reader. 2. Tab through category menu.</t>
        </is>
      </c>
      <c r="E99" s="6" t="inlineStr">
        <is>
          <t>Pending execution scheduled for WCAG 2.1 Accessibility Audit.</t>
        </is>
      </c>
      <c r="F99" s="12" t="inlineStr">
        <is>
          <t>Pending</t>
        </is>
      </c>
    </row>
    <row r="100" ht="24" customHeight="1">
      <c r="A100" s="8" t="inlineStr">
        <is>
          <t>TC_096</t>
        </is>
      </c>
      <c r="B100" s="9" t="inlineStr">
        <is>
          <t>Selection &amp; Routing</t>
        </is>
      </c>
      <c r="C100" s="10" t="inlineStr">
        <is>
          <t>Verify category URL query parameter preservation</t>
        </is>
      </c>
      <c r="D100" s="10" t="inlineStr">
        <is>
          <t>1. Open category with marketing UTM parameter. 2. Select subcategory.</t>
        </is>
      </c>
      <c r="E100" s="10" t="inlineStr">
        <is>
          <t>UTM tracking parameters are preserved cleanly across category navigation.</t>
        </is>
      </c>
      <c r="F100" s="7" t="inlineStr">
        <is>
          <t>Pass</t>
        </is>
      </c>
    </row>
    <row r="101" ht="24" customHeight="1">
      <c r="A101" s="4" t="inlineStr">
        <is>
          <t>TC_097</t>
        </is>
      </c>
      <c r="B101" s="5" t="inlineStr">
        <is>
          <t>Product Listing</t>
        </is>
      </c>
      <c r="C101" s="6" t="inlineStr">
        <is>
          <t>Verify category grid layout toggle (Grid view vs List view)</t>
        </is>
      </c>
      <c r="D101" s="6" t="inlineStr">
        <is>
          <t>1. Click 'List View' toggle button on PLP.</t>
        </is>
      </c>
      <c r="E101" s="6" t="inlineStr">
        <is>
          <t>Grid rearranges to horizontal list view showing expanded descriptions.</t>
        </is>
      </c>
      <c r="F101" s="7" t="inlineStr">
        <is>
          <t>Pass</t>
        </is>
      </c>
    </row>
    <row r="102" ht="24" customHeight="1">
      <c r="A102" s="8" t="inlineStr">
        <is>
          <t>TC_098</t>
        </is>
      </c>
      <c r="B102" s="9" t="inlineStr">
        <is>
          <t>Filters &amp; Facets</t>
        </is>
      </c>
      <c r="C102" s="10" t="inlineStr">
        <is>
          <t>Verify rating filter selection (e.g. '4 Stars &amp; Above')</t>
        </is>
      </c>
      <c r="D102" s="10" t="inlineStr">
        <is>
          <t>1. Select rating filter '4 Stars &amp; Above'.</t>
        </is>
      </c>
      <c r="E102" s="10" t="inlineStr">
        <is>
          <t>Only products with average customer rating &gt;= 4.0 are displayed.</t>
        </is>
      </c>
      <c r="F102" s="7" t="inlineStr">
        <is>
          <t>Pass</t>
        </is>
      </c>
    </row>
    <row r="103" ht="24" customHeight="1">
      <c r="A103" s="4" t="inlineStr">
        <is>
          <t>TC_099</t>
        </is>
      </c>
      <c r="B103" s="5" t="inlineStr">
        <is>
          <t>In-Category Search</t>
        </is>
      </c>
      <c r="C103" s="6" t="inlineStr">
        <is>
          <t>Verify searching non-existent product keyword within category</t>
        </is>
      </c>
      <c r="D103" s="6" t="inlineStr">
        <is>
          <t>1. Inside 'Groceries', search random string 'qwertyxyz999'.</t>
        </is>
      </c>
      <c r="E103" s="6" t="inlineStr">
        <is>
          <t>Displays friendly message: 'No groceries found matching your search'.</t>
        </is>
      </c>
      <c r="F103" s="7" t="inlineStr">
        <is>
          <t>Pass</t>
        </is>
      </c>
    </row>
    <row r="104" ht="24" customHeight="1">
      <c r="A104" s="8" t="inlineStr">
        <is>
          <t>TC_100</t>
        </is>
      </c>
      <c r="B104" s="9" t="inlineStr">
        <is>
          <t>Navigation History</t>
        </is>
      </c>
      <c r="C104" s="10" t="inlineStr">
        <is>
          <t>Verify navigating directly to homepage via logo click from deep PLP</t>
        </is>
      </c>
      <c r="D104" s="10" t="inlineStr">
        <is>
          <t>1. Navigate 4 levels deep into category. 2. Click main JioMart logo.</t>
        </is>
      </c>
      <c r="E104" s="10" t="inlineStr">
        <is>
          <t>Clean immediate navigation back to root homepage.</t>
        </is>
      </c>
      <c r="F104" s="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18" customWidth="1" min="4" max="4"/>
  </cols>
  <sheetData>
    <row r="1">
      <c r="A1" s="1" t="inlineStr">
        <is>
          <t>JioMart QA Metrics &amp; Execution Dashboard</t>
        </is>
      </c>
    </row>
    <row r="2">
      <c r="A2" s="2" t="inlineStr">
        <is>
          <t>Dynamic Excel Formulas Derived from the Mixed Test Case Matrix</t>
        </is>
      </c>
    </row>
    <row r="4">
      <c r="A4" s="13" t="inlineStr">
        <is>
          <t>1. Summary Test Execution Metrics</t>
        </is>
      </c>
    </row>
    <row r="5">
      <c r="A5" s="14" t="inlineStr">
        <is>
          <t>Metric Parameter</t>
        </is>
      </c>
      <c r="B5" s="14" t="inlineStr">
        <is>
          <t>Count / Value</t>
        </is>
      </c>
      <c r="C5" s="14" t="inlineStr">
        <is>
          <t>Formula / Source</t>
        </is>
      </c>
      <c r="D5" s="14" t="inlineStr">
        <is>
          <t>Benchmark</t>
        </is>
      </c>
    </row>
    <row r="6">
      <c r="A6" s="15" t="inlineStr">
        <is>
          <t>Total Requirements</t>
        </is>
      </c>
      <c r="B6" s="16" t="n">
        <v>40</v>
      </c>
      <c r="C6" s="17" t="inlineStr">
        <is>
          <t>Module Requirements Specification</t>
        </is>
      </c>
      <c r="D6" s="17" t="inlineStr">
        <is>
          <t>Baseline</t>
        </is>
      </c>
    </row>
    <row r="7">
      <c r="A7" s="15" t="inlineStr">
        <is>
          <t>Requirements Tested</t>
        </is>
      </c>
      <c r="B7" s="16" t="n">
        <v>36</v>
      </c>
      <c r="C7" s="17" t="inlineStr">
        <is>
          <t>Tested in current QA cycle</t>
        </is>
      </c>
      <c r="D7" s="17" t="inlineStr">
        <is>
          <t>90.00% Coverage</t>
        </is>
      </c>
    </row>
    <row r="8">
      <c r="A8" s="15" t="inlineStr">
        <is>
          <t>Total Test Cases</t>
        </is>
      </c>
      <c r="B8" s="16">
        <f>COUNTA('Test Cases (Mixed Log)'!A5:A104)</f>
        <v/>
      </c>
      <c r="C8" s="17">
        <f>COUNTA('Test Cases (Mixed Log)'!A5:A104)</f>
        <v/>
      </c>
      <c r="D8" s="17" t="inlineStr">
        <is>
          <t>100 Cases</t>
        </is>
      </c>
    </row>
    <row r="9">
      <c r="A9" s="15" t="inlineStr">
        <is>
          <t>Test Cases Executed</t>
        </is>
      </c>
      <c r="B9" s="16">
        <f>COUNTIF('Test Cases (Mixed Log)'!F5:F104, "Pass") + COUNTIF('Test Cases (Mixed Log)'!F5:F104, "Fail")</f>
        <v/>
      </c>
      <c r="C9" s="17">
        <f>Passed + Failed</f>
        <v/>
      </c>
      <c r="D9" s="17" t="inlineStr">
        <is>
          <t>80 Cases</t>
        </is>
      </c>
    </row>
    <row r="10">
      <c r="A10" s="15" t="inlineStr">
        <is>
          <t>Passed Test Cases</t>
        </is>
      </c>
      <c r="B10" s="16">
        <f>COUNTIF('Test Cases (Mixed Log)'!F5:F104, "Pass")</f>
        <v/>
      </c>
      <c r="C10" s="17">
        <f>COUNTIF('Test Cases (Mixed Log)'!F5:F104, "Pass")</f>
        <v/>
      </c>
      <c r="D10" s="17" t="inlineStr">
        <is>
          <t>68 Cases</t>
        </is>
      </c>
    </row>
    <row r="11">
      <c r="A11" s="15" t="inlineStr">
        <is>
          <t>Failed Test Cases (Defects)</t>
        </is>
      </c>
      <c r="B11" s="16">
        <f>COUNTIF('Test Cases (Mixed Log)'!F5:F104, "Fail")</f>
        <v/>
      </c>
      <c r="C11" s="17">
        <f>COUNTIF('Test Cases (Mixed Log)'!F5:F104, "Fail")</f>
        <v/>
      </c>
      <c r="D11" s="17" t="inlineStr">
        <is>
          <t>12 Cases</t>
        </is>
      </c>
    </row>
    <row r="12">
      <c r="A12" s="15" t="inlineStr">
        <is>
          <t>Pending Test Cases</t>
        </is>
      </c>
      <c r="B12" s="16">
        <f>COUNTIF('Test Cases (Mixed Log)'!F5:F104, "Pending")</f>
        <v/>
      </c>
      <c r="C12" s="17">
        <f>COUNTIF('Test Cases (Mixed Log)'!F5:F104, "Pending")</f>
        <v/>
      </c>
      <c r="D12" s="17" t="inlineStr">
        <is>
          <t>20 Cases</t>
        </is>
      </c>
    </row>
    <row r="13">
      <c r="A13" s="15" t="inlineStr">
        <is>
          <t>Requirement Coverage Rate (%)</t>
        </is>
      </c>
      <c r="B13" s="18">
        <f>(B7/B6)*100</f>
        <v/>
      </c>
      <c r="C13" s="17" t="inlineStr">
        <is>
          <t>(Requirements Tested ÷ Total Requirements) × 100</t>
        </is>
      </c>
      <c r="D13" s="17" t="inlineStr">
        <is>
          <t>90.00%</t>
        </is>
      </c>
    </row>
    <row r="14">
      <c r="A14" s="15" t="inlineStr">
        <is>
          <t>Test Execution Rate (%)</t>
        </is>
      </c>
      <c r="B14" s="18">
        <f>(B9/B8)*100</f>
        <v/>
      </c>
      <c r="C14" s="17" t="inlineStr">
        <is>
          <t>(Executed Test Cases ÷ Total Test Cases) × 100</t>
        </is>
      </c>
      <c r="D14" s="17" t="inlineStr">
        <is>
          <t>80.00%</t>
        </is>
      </c>
    </row>
    <row r="15">
      <c r="A15" s="15" t="inlineStr">
        <is>
          <t>Pass Rate (%)</t>
        </is>
      </c>
      <c r="B15" s="18">
        <f>(B10/B9)*100</f>
        <v/>
      </c>
      <c r="C15" s="17" t="inlineStr">
        <is>
          <t>(Passed Test Cases ÷ Executed Test Cases) × 100</t>
        </is>
      </c>
      <c r="D15" s="17" t="inlineStr">
        <is>
          <t>85.00%</t>
        </is>
      </c>
    </row>
    <row r="16">
      <c r="A16" s="15" t="inlineStr">
        <is>
          <t>Fail Rate (%)</t>
        </is>
      </c>
      <c r="B16" s="18">
        <f>(B11/B9)*100</f>
        <v/>
      </c>
      <c r="C16" s="17" t="inlineStr">
        <is>
          <t>(Failed Test Cases ÷ Executed Test Cases) × 100</t>
        </is>
      </c>
      <c r="D16" s="17" t="inlineStr">
        <is>
          <t>15.00%</t>
        </is>
      </c>
    </row>
    <row r="17">
      <c r="A17" s="15" t="inlineStr">
        <is>
          <t>Pending Test Cases Rate (%)</t>
        </is>
      </c>
      <c r="B17" s="18">
        <f>(B12/B8)*100</f>
        <v/>
      </c>
      <c r="C17" s="17" t="inlineStr">
        <is>
          <t>(Pending Test Cases ÷ Total Test Cases) × 100</t>
        </is>
      </c>
      <c r="D17" s="17" t="inlineStr">
        <is>
          <t>20.00%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8" customWidth="1" min="4" max="4"/>
    <col width="50" customWidth="1" min="5" max="5"/>
    <col width="14" customWidth="1" min="6" max="6"/>
  </cols>
  <sheetData>
    <row r="1">
      <c r="A1" s="1" t="inlineStr">
        <is>
          <t>Itemized Defects Log - 12 Failed Test Cases</t>
        </is>
      </c>
    </row>
    <row r="2">
      <c r="A2" s="2" t="inlineStr">
        <is>
          <t>Detailed Breakdown of the 12 Bugs Discovered in the Mixed QA Run</t>
        </is>
      </c>
    </row>
    <row r="4">
      <c r="A4" s="14" t="inlineStr">
        <is>
          <t>Defect ID</t>
        </is>
      </c>
      <c r="B4" s="14" t="inlineStr">
        <is>
          <t>Failed TC ID</t>
        </is>
      </c>
      <c r="C4" s="14" t="inlineStr">
        <is>
          <t>Module</t>
        </is>
      </c>
      <c r="D4" s="14" t="inlineStr">
        <is>
          <t>Test Scenario</t>
        </is>
      </c>
      <c r="E4" s="14" t="inlineStr">
        <is>
          <t>Defect Description &amp; Root Cause</t>
        </is>
      </c>
      <c r="F4" s="14" t="inlineStr">
        <is>
          <t>Severity</t>
        </is>
      </c>
    </row>
    <row r="5">
      <c r="A5" s="4" t="inlineStr">
        <is>
          <t>BUG_001</t>
        </is>
      </c>
      <c r="B5" s="4" t="inlineStr">
        <is>
          <t>TC_004</t>
        </is>
      </c>
      <c r="C5" s="6" t="inlineStr">
        <is>
          <t>Category Display</t>
        </is>
      </c>
      <c r="D5" s="6" t="inlineStr">
        <is>
          <t>Verify category display during network throttling (Slow 3G)</t>
        </is>
      </c>
      <c r="E5" s="6" t="inlineStr">
        <is>
          <t>Menu script crashes with Uncaught TypeError; blank dropdown rendered.</t>
        </is>
      </c>
      <c r="F5" s="4" t="inlineStr">
        <is>
          <t>Critical</t>
        </is>
      </c>
    </row>
    <row r="6">
      <c r="A6" s="8" t="inlineStr">
        <is>
          <t>BUG_002</t>
        </is>
      </c>
      <c r="B6" s="8" t="inlineStr">
        <is>
          <t>TC_018</t>
        </is>
      </c>
      <c r="C6" s="10" t="inlineStr">
        <is>
          <t>Selection &amp; Routing</t>
        </is>
      </c>
      <c r="D6" s="10" t="inlineStr">
        <is>
          <t>Verify URL handling for category names containing ampersand (&amp;)</t>
        </is>
      </c>
      <c r="E6" s="10" t="inlineStr">
        <is>
          <t>Ampersand is unencoded, breaking route to '/category/beauty'.</t>
        </is>
      </c>
      <c r="F6" s="8" t="inlineStr">
        <is>
          <t>High</t>
        </is>
      </c>
    </row>
    <row r="7">
      <c r="A7" s="4" t="inlineStr">
        <is>
          <t>BUG_003</t>
        </is>
      </c>
      <c r="B7" s="4" t="inlineStr">
        <is>
          <t>TC_026</t>
        </is>
      </c>
      <c r="C7" s="6" t="inlineStr">
        <is>
          <t>Selection &amp; Routing</t>
        </is>
      </c>
      <c r="D7" s="6" t="inlineStr">
        <is>
          <t>Verify display for empty category containing zero products</t>
        </is>
      </c>
      <c r="E7" s="6" t="inlineStr">
        <is>
          <t>Infinite loading spinner spins endlessly; user is trapped.</t>
        </is>
      </c>
      <c r="F7" s="4" t="inlineStr">
        <is>
          <t>Medium</t>
        </is>
      </c>
    </row>
    <row r="8">
      <c r="A8" s="8" t="inlineStr">
        <is>
          <t>BUG_004</t>
        </is>
      </c>
      <c r="B8" s="8" t="inlineStr">
        <is>
          <t>TC_035</t>
        </is>
      </c>
      <c r="C8" s="10" t="inlineStr">
        <is>
          <t>Breadcrumbs</t>
        </is>
      </c>
      <c r="D8" s="10" t="inlineStr">
        <is>
          <t>Verify deep breadcrumb hierarchy on small mobile screens (375px)</t>
        </is>
      </c>
      <c r="E8" s="10" t="inlineStr">
        <is>
          <t>Breadcrumbs wrap into 3 broken lines, hiding top filters.</t>
        </is>
      </c>
      <c r="F8" s="8" t="inlineStr">
        <is>
          <t>High</t>
        </is>
      </c>
    </row>
    <row r="9">
      <c r="A9" s="4" t="inlineStr">
        <is>
          <t>BUG_005</t>
        </is>
      </c>
      <c r="B9" s="4" t="inlineStr">
        <is>
          <t>TC_040</t>
        </is>
      </c>
      <c r="C9" s="6" t="inlineStr">
        <is>
          <t>Breadcrumbs</t>
        </is>
      </c>
      <c r="D9" s="6" t="inlineStr">
        <is>
          <t>Verify breadcrumb link behavior following session logout</t>
        </is>
      </c>
      <c r="E9" s="6" t="inlineStr">
        <is>
          <t>Redirect loop occurs between auth gateway and category route.</t>
        </is>
      </c>
      <c r="F9" s="4" t="inlineStr">
        <is>
          <t>Medium</t>
        </is>
      </c>
    </row>
    <row r="10">
      <c r="A10" s="8" t="inlineStr">
        <is>
          <t>BUG_006</t>
        </is>
      </c>
      <c r="B10" s="8" t="inlineStr">
        <is>
          <t>TC_044</t>
        </is>
      </c>
      <c r="C10" s="10" t="inlineStr">
        <is>
          <t>Product Listing</t>
        </is>
      </c>
      <c r="D10" s="10" t="inlineStr">
        <is>
          <t>Verify category product count dynamic update when filtering out-of-stock</t>
        </is>
      </c>
      <c r="E10" s="10" t="inlineStr">
        <is>
          <t>Counter remains static at 180, showing incorrect total.</t>
        </is>
      </c>
      <c r="F10" s="8" t="inlineStr">
        <is>
          <t>Critical</t>
        </is>
      </c>
    </row>
    <row r="11">
      <c r="A11" s="4" t="inlineStr">
        <is>
          <t>BUG_007</t>
        </is>
      </c>
      <c r="B11" s="4" t="inlineStr">
        <is>
          <t>TC_046</t>
        </is>
      </c>
      <c r="C11" s="6" t="inlineStr">
        <is>
          <t>Product Listing</t>
        </is>
      </c>
      <c r="D11" s="6" t="inlineStr">
        <is>
          <t>Verify category infinite scrolling under high product volume (&gt;500 items)</t>
        </is>
      </c>
      <c r="E11" s="6" t="inlineStr">
        <is>
          <t>Browser memory leak causes tab freeze; duplicate items injected.</t>
        </is>
      </c>
      <c r="F11" s="4" t="inlineStr">
        <is>
          <t>High</t>
        </is>
      </c>
    </row>
    <row r="12">
      <c r="A12" s="8" t="inlineStr">
        <is>
          <t>BUG_008</t>
        </is>
      </c>
      <c r="B12" s="8" t="inlineStr">
        <is>
          <t>TC_066</t>
        </is>
      </c>
      <c r="C12" s="10" t="inlineStr">
        <is>
          <t>In-Category Search</t>
        </is>
      </c>
      <c r="D12" s="10" t="inlineStr">
        <is>
          <t>Verify in-category search with special characters (&amp;, %, #)</t>
        </is>
      </c>
      <c r="E12" s="10" t="inlineStr">
        <is>
          <t>Server throws HTTP 500 Internal Server Error.</t>
        </is>
      </c>
      <c r="F12" s="8" t="inlineStr">
        <is>
          <t>Critical</t>
        </is>
      </c>
    </row>
    <row r="13">
      <c r="A13" s="4" t="inlineStr">
        <is>
          <t>BUG_009</t>
        </is>
      </c>
      <c r="B13" s="4" t="inlineStr">
        <is>
          <t>TC_069</t>
        </is>
      </c>
      <c r="C13" s="6" t="inlineStr">
        <is>
          <t>Navigation History</t>
        </is>
      </c>
      <c r="D13" s="6" t="inlineStr">
        <is>
          <t>Verify back button retains active filters and page number</t>
        </is>
      </c>
      <c r="E13" s="6" t="inlineStr">
        <is>
          <t>Page resets to Page 1 with all filters wiped out.</t>
        </is>
      </c>
      <c r="F13" s="4" t="inlineStr">
        <is>
          <t>Medium</t>
        </is>
      </c>
    </row>
    <row r="14">
      <c r="A14" s="8" t="inlineStr">
        <is>
          <t>BUG_010</t>
        </is>
      </c>
      <c r="B14" s="8" t="inlineStr">
        <is>
          <t>TC_070</t>
        </is>
      </c>
      <c r="C14" s="10" t="inlineStr">
        <is>
          <t>Navigation History</t>
        </is>
      </c>
      <c r="D14" s="10" t="inlineStr">
        <is>
          <t>Verify back button navigation on Safari iOS mobile</t>
        </is>
      </c>
      <c r="E14" s="10" t="inlineStr">
        <is>
          <t>Screen renders blank white canvas requiring hard reload.</t>
        </is>
      </c>
      <c r="F14" s="8" t="inlineStr">
        <is>
          <t>High</t>
        </is>
      </c>
    </row>
    <row r="15">
      <c r="A15" s="4" t="inlineStr">
        <is>
          <t>BUG_011</t>
        </is>
      </c>
      <c r="B15" s="4" t="inlineStr">
        <is>
          <t>TC_071</t>
        </is>
      </c>
      <c r="C15" s="6" t="inlineStr">
        <is>
          <t>Subcategory Drawer</t>
        </is>
      </c>
      <c r="D15" s="6" t="inlineStr">
        <is>
          <t>Verify rapid multi-hover switching between categories</t>
        </is>
      </c>
      <c r="E15" s="6" t="inlineStr">
        <is>
          <t>Hover debounce fails; multiple drawers get stuck open simultaneously.</t>
        </is>
      </c>
      <c r="F15" s="4" t="inlineStr">
        <is>
          <t>Medium</t>
        </is>
      </c>
    </row>
    <row r="16">
      <c r="A16" s="8" t="inlineStr">
        <is>
          <t>BUG_012</t>
        </is>
      </c>
      <c r="B16" s="8" t="inlineStr">
        <is>
          <t>TC_072</t>
        </is>
      </c>
      <c r="C16" s="10" t="inlineStr">
        <is>
          <t>Mobile Navigation</t>
        </is>
      </c>
      <c r="D16" s="10" t="inlineStr">
        <is>
          <t>Verify closing mobile category drawer via Android hardware back key</t>
        </is>
      </c>
      <c r="E16" s="10" t="inlineStr">
        <is>
          <t>Closes browser tab instead of closing drawer modal.</t>
        </is>
      </c>
      <c r="F16" s="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8" customWidth="1" min="3" max="3"/>
    <col width="44" customWidth="1" min="4" max="4"/>
    <col width="32" customWidth="1" min="5" max="5"/>
  </cols>
  <sheetData>
    <row r="1">
      <c r="A1" s="1" t="inlineStr">
        <is>
          <t>JioMart QA Testing Metrics: Complete Calculations &amp; Formulas (1 to 11)</t>
        </is>
      </c>
    </row>
    <row r="2">
      <c r="A2" s="2" t="inlineStr">
        <is>
          <t>Detailed Breakdown: Formulas, Worked Solutions, Statistical Averages, Severity Distributions &amp; Final Answers</t>
        </is>
      </c>
    </row>
    <row r="4" ht="28" customHeight="1">
      <c r="A4" s="3" t="inlineStr">
        <is>
          <t>Metric # &amp; Category</t>
        </is>
      </c>
      <c r="B4" s="3" t="inlineStr">
        <is>
          <t>Problem Statement / Test Scenario</t>
        </is>
      </c>
      <c r="C4" s="3" t="inlineStr">
        <is>
          <t>Standard Formula</t>
        </is>
      </c>
      <c r="D4" s="3" t="inlineStr">
        <is>
          <t>Step-by-Step Solution</t>
        </is>
      </c>
      <c r="E4" s="3" t="inlineStr">
        <is>
          <t>Final Calculated Answer</t>
        </is>
      </c>
    </row>
    <row r="5" ht="42" customHeight="1">
      <c r="A5" s="19" t="inlineStr">
        <is>
          <t>1. Test Coverage</t>
        </is>
      </c>
      <c r="B5" s="6" t="inlineStr">
        <is>
          <t>The JioMart module has 50 requirements. The QA team has tested 45 requirements. Calculate the Test Coverage.</t>
        </is>
      </c>
      <c r="C5" s="6" t="inlineStr">
        <is>
          <t>(Requirements Tested ÷ Total Requirements) × 100</t>
        </is>
      </c>
      <c r="D5" s="6" t="inlineStr">
        <is>
          <t>(45 ÷ 50) × 100 = 0.90 × 100 = 90%</t>
        </is>
      </c>
      <c r="E5" s="20" t="inlineStr">
        <is>
          <t>Test Coverage = 90%</t>
        </is>
      </c>
    </row>
    <row r="6" ht="42" customHeight="1">
      <c r="A6" s="19" t="inlineStr">
        <is>
          <t>2. Pass Rate &amp; Fail Rate</t>
        </is>
      </c>
      <c r="B6" s="21" t="inlineStr">
        <is>
          <t>Out of 90 executed test cases on the JioMart app, 72 passed and 18 failed.
Calculate both Pass Rate and Fail Rate.</t>
        </is>
      </c>
      <c r="C6" s="21" t="inlineStr">
        <is>
          <t>Pass Rate = (Passed ÷ Total Executed) × 100
Fail Rate = (Failed ÷ Total Executed) × 100</t>
        </is>
      </c>
      <c r="D6" s="21" t="inlineStr">
        <is>
          <t>Pass Rate: (72 ÷ 90) × 100 = 80%
Fail Rate: (18 ÷ 90) × 100 = 20%</t>
        </is>
      </c>
      <c r="E6" s="22" t="inlineStr">
        <is>
          <t>Pass Rate = 80%
Fail Rate = 20%</t>
        </is>
      </c>
    </row>
    <row r="7" ht="42" customHeight="1">
      <c r="A7" s="19" t="inlineStr">
        <is>
          <t>3. Defect Density</t>
        </is>
      </c>
      <c r="B7" s="6" t="inlineStr">
        <is>
          <t>The JioMart module contains 15,000 lines of code and testers found 18 defects. Calculate the Defect Density per KLOC.</t>
        </is>
      </c>
      <c r="C7" s="6" t="inlineStr">
        <is>
          <t>Defect Density = Number of Defects ÷ KLOC
(where KLOC = LOC ÷ 1,000)</t>
        </is>
      </c>
      <c r="D7" s="6" t="inlineStr">
        <is>
          <t>KLOC = 15,000 ÷ 1,000 = 15 KLOC
Defect Density = 18 ÷ 15 = 1.20</t>
        </is>
      </c>
      <c r="E7" s="20" t="inlineStr">
        <is>
          <t>Defect Density = 1.2 defects/KLOC</t>
        </is>
      </c>
    </row>
    <row r="8" ht="42" customHeight="1">
      <c r="A8" s="19" t="inlineStr">
        <is>
          <t>4. Mean / Average (Page Load &amp; API)</t>
        </is>
      </c>
      <c r="B8" s="21" t="inlineStr">
        <is>
          <t>Example A (Page Load): 5 runs: 2s, 3s, 4s, 5s, 6s.
Example B (API Response): 6 runs: 110, 120, 140, 160, 180, 190 ms.</t>
        </is>
      </c>
      <c r="C8" s="21" t="inlineStr">
        <is>
          <t>Mean = Sum of Values ÷ Number of Values</t>
        </is>
      </c>
      <c r="D8" s="21" t="inlineStr">
        <is>
          <t>Page Load Mean: (2 + 3 + 4 + 5 + 6) ÷ 5 = 20 ÷ 5 = 4.0 sec
API Response Mean: (110 + 120 + 140 + 160 + 180 + 190) ÷ 6 = 900 ÷ 6 = 150.0 ms</t>
        </is>
      </c>
      <c r="E8" s="22" t="inlineStr">
        <is>
          <t>Avg Page Load = 4 seconds
Avg API Response = 150 ms</t>
        </is>
      </c>
    </row>
    <row r="9" ht="42" customHeight="1">
      <c r="A9" s="19" t="inlineStr">
        <is>
          <t>5. Median (Odd &amp; Even Sets)</t>
        </is>
      </c>
      <c r="B9" s="6" t="inlineStr">
        <is>
          <t>Example A (Odd): Page load times 2, 6, 3, 5, 4 sec.
Example B (Even): API response times 110, 140, 120, 180, 160, 190 ms.</t>
        </is>
      </c>
      <c r="C9" s="6" t="inlineStr">
        <is>
          <t>Odd: Middle value after sorting
Even: (Middle Value 1 + Middle Value 2) ÷ 2</t>
        </is>
      </c>
      <c r="D9" s="6" t="inlineStr">
        <is>
          <t>Odd Sorted: [2, 3, 4, 5, 6] → Middle = 4 sec
Even Sorted: [110, 120, 140, 160, 180, 190] → (140 + 160) ÷ 2 = 150 ms</t>
        </is>
      </c>
      <c r="E9" s="20" t="inlineStr">
        <is>
          <t>Median Page Load = 4 seconds
Median API Response = 150 ms</t>
        </is>
      </c>
    </row>
    <row r="10" ht="42" customHeight="1">
      <c r="A10" s="19" t="inlineStr">
        <is>
          <t>6. Mean vs Median (Outlier Spike)</t>
        </is>
      </c>
      <c r="B10" s="21" t="inlineStr">
        <is>
          <t>Page loading times under network throttling: 2, 2, 3, 3, and 20 seconds. Calculate Mean and Median, and explain impact.</t>
        </is>
      </c>
      <c r="C10" s="21" t="inlineStr">
        <is>
          <t>Mean = Sum ÷ N
Median = Middle value after sorting</t>
        </is>
      </c>
      <c r="D10" s="21" t="inlineStr">
        <is>
          <t>Mean = (2 + 2 + 3 + 3 + 20) ÷ 5 = 30 ÷ 5 = 6.0 sec
Sorted: [2, 2, 3, 3, 20] → Median = 3.0 sec
Note: The 20s timeout spike skews the mean significantly; median represents typical UX.</t>
        </is>
      </c>
      <c r="E10" s="22" t="inlineStr">
        <is>
          <t>Mean = 6 seconds
Median = 3 seconds</t>
        </is>
      </c>
    </row>
    <row r="11" ht="42" customHeight="1">
      <c r="A11" s="19" t="inlineStr">
        <is>
          <t>7. Test Execution Percentage</t>
        </is>
      </c>
      <c r="B11" s="6" t="inlineStr">
        <is>
          <t>The JioMart module test cycle contains 120 test cases. The team has executed 90 test cases. Calculate execution percentage.</t>
        </is>
      </c>
      <c r="C11" s="6" t="inlineStr">
        <is>
          <t>(Executed Test Cases ÷ Total Test Cases) × 100</t>
        </is>
      </c>
      <c r="D11" s="6" t="inlineStr">
        <is>
          <t>(90 ÷ 120) × 100 = 0.75 × 100 = 75%</t>
        </is>
      </c>
      <c r="E11" s="20" t="inlineStr">
        <is>
          <t>Test Execution = 75%</t>
        </is>
      </c>
    </row>
    <row r="12" ht="42" customHeight="1">
      <c r="A12" s="19" t="inlineStr">
        <is>
          <t>8. Test Execution, Pass &amp; Fail Rate</t>
        </is>
      </c>
      <c r="B12" s="21" t="inlineStr">
        <is>
          <t>There are 120 total test cases. Executed = 90, Passed = 72, Failed = 18.
Calculate Execution %, Pass Rate, and Fail Rate.</t>
        </is>
      </c>
      <c r="C12" s="21" t="inlineStr">
        <is>
          <t>Execution % = (Executed ÷ Total) × 100
Pass Rate = (Passed ÷ Executed) × 100
Fail Rate = (Failed ÷ Executed) × 100</t>
        </is>
      </c>
      <c r="D12" s="21" t="inlineStr">
        <is>
          <t>Execution % = (90 ÷ 120) × 100 = 75%
Pass Rate = (72 ÷ 90) × 100 = 80%
Fail Rate = (18 ÷ 90) × 100 = 20%</t>
        </is>
      </c>
      <c r="E12" s="22" t="inlineStr">
        <is>
          <t>Execution = 75%
Pass Rate = 80%
Fail Rate = 20%</t>
        </is>
      </c>
    </row>
    <row r="13" ht="42" customHeight="1">
      <c r="A13" s="19" t="inlineStr">
        <is>
          <t>9. Critical Defect Percentage</t>
        </is>
      </c>
      <c r="B13" s="6" t="inlineStr">
        <is>
          <t>The testing team identified 18 defects in the JioMart module. Out of these, 3 are Critical. Calculate Critical Defect %.</t>
        </is>
      </c>
      <c r="C13" s="6" t="inlineStr">
        <is>
          <t>(Critical Defects ÷ Total Defects) × 100</t>
        </is>
      </c>
      <c r="D13" s="6" t="inlineStr">
        <is>
          <t>(3 ÷ 18) × 100 = 0.1667 × 100 = 16.67%</t>
        </is>
      </c>
      <c r="E13" s="20" t="inlineStr">
        <is>
          <t>Critical Defect % = 16.67%</t>
        </is>
      </c>
    </row>
    <row r="14" ht="42" customHeight="1">
      <c r="A14" s="19" t="inlineStr">
        <is>
          <t>10. Defect Distribution</t>
        </is>
      </c>
      <c r="B14" s="21" t="inlineStr">
        <is>
          <t>There are 18 total defects recorded: Critical = 3, High = 6, Medium = 6, Low = 3. Calculate percentage breakdown.</t>
        </is>
      </c>
      <c r="C14" s="21" t="inlineStr">
        <is>
          <t>Severity % = (Defects in Tier ÷ Total Defects) × 100</t>
        </is>
      </c>
      <c r="D14" s="21" t="inlineStr">
        <is>
          <t>Critical: (3 ÷ 18) × 100 = 16.67%
High: (6 ÷ 18) × 100 = 33.33%
Medium: (6 ÷ 18) × 100 = 33.33%
Low: (3 ÷ 18) × 100 = 16.67%</t>
        </is>
      </c>
      <c r="E14" s="22" t="inlineStr">
        <is>
          <t>Critical: 16.67%
High: 33.33%
Medium: 33.33%
Low: 16.67%
Total: 100%</t>
        </is>
      </c>
    </row>
    <row r="15" ht="42" customHeight="1">
      <c r="A15" s="19" t="inlineStr">
        <is>
          <t>11. Combined Test Metrics Problem</t>
        </is>
      </c>
      <c r="B15" s="6" t="inlineStr">
        <is>
          <t>JioMart Categories module has 50 requirements, 45 tested, 120 total test cases, 90 executed, 72 passed, and 18 failed. Calculate all core metrics.</t>
        </is>
      </c>
      <c r="C15" s="6" t="inlineStr">
        <is>
          <t>Requirement Coverage = (45 ÷ 50) × 100
Execution Rate = (90 ÷ 120) × 100
Pass Rate = (72 ÷ 90) × 100
Fail Rate = (18 ÷ 90) × 100</t>
        </is>
      </c>
      <c r="D15" s="6" t="inlineStr">
        <is>
          <t>Req Coverage = (45 ÷ 50) × 100 = 90%
Execution Rate = (90 ÷ 120) × 100 = 75%
Pass Rate = (72 ÷ 90) × 100 = 80%
Fail Rate = (18 ÷ 90) × 100 = 20%</t>
        </is>
      </c>
      <c r="E15" s="20" t="inlineStr">
        <is>
          <t>Req Coverage = 90%
Execution = 75%
Pass Rate = 80%
Fail Rate = 20%</t>
        </is>
      </c>
    </row>
    <row r="18">
      <c r="A18" s="23" t="inlineStr">
        <is>
          <t>Defect Severity Distribution Table (Metric #10 Breakdown)</t>
        </is>
      </c>
    </row>
    <row r="19">
      <c r="A19" s="24" t="inlineStr">
        <is>
          <t>Severity Level</t>
        </is>
      </c>
      <c r="B19" s="24" t="inlineStr">
        <is>
          <t>Defect Count</t>
        </is>
      </c>
      <c r="C19" s="24" t="inlineStr">
        <is>
          <t>Calculation Formula</t>
        </is>
      </c>
      <c r="D19" s="24" t="inlineStr">
        <is>
          <t>Percentage Share</t>
        </is>
      </c>
      <c r="E19" s="24" t="inlineStr">
        <is>
          <t>Resolution Priority</t>
        </is>
      </c>
    </row>
    <row r="20">
      <c r="A20" s="25" t="inlineStr">
        <is>
          <t>Critical</t>
        </is>
      </c>
      <c r="B20" s="26" t="n">
        <v>3</v>
      </c>
      <c r="C20" s="27">
        <f>(B20/$B$24)*100</f>
        <v/>
      </c>
      <c r="D20" s="28" t="n">
        <v>16.67</v>
      </c>
      <c r="E20" s="5" t="inlineStr">
        <is>
          <t>P0 - Immediate Hotfix / Showstopper</t>
        </is>
      </c>
    </row>
    <row r="21">
      <c r="A21" s="29" t="inlineStr">
        <is>
          <t>High</t>
        </is>
      </c>
      <c r="B21" s="30" t="n">
        <v>6</v>
      </c>
      <c r="C21" s="31">
        <f>(B21/$B$24)*100</f>
        <v/>
      </c>
      <c r="D21" s="32" t="n">
        <v>33.33</v>
      </c>
      <c r="E21" s="33" t="inlineStr">
        <is>
          <t>P1 - Fix within current sprint</t>
        </is>
      </c>
    </row>
    <row r="22">
      <c r="A22" s="25" t="inlineStr">
        <is>
          <t>Medium</t>
        </is>
      </c>
      <c r="B22" s="26" t="n">
        <v>6</v>
      </c>
      <c r="C22" s="27">
        <f>(B22/$B$24)*100</f>
        <v/>
      </c>
      <c r="D22" s="28" t="n">
        <v>33.33</v>
      </c>
      <c r="E22" s="5" t="inlineStr">
        <is>
          <t>P2 - Fix scheduled in next sprint</t>
        </is>
      </c>
    </row>
    <row r="23">
      <c r="A23" s="29" t="inlineStr">
        <is>
          <t>Low</t>
        </is>
      </c>
      <c r="B23" s="30" t="n">
        <v>3</v>
      </c>
      <c r="C23" s="31">
        <f>(B23/$B$24)*100</f>
        <v/>
      </c>
      <c r="D23" s="32" t="n">
        <v>16.67</v>
      </c>
      <c r="E23" s="33" t="inlineStr">
        <is>
          <t>P3 - Minor UI cosmetic defect</t>
        </is>
      </c>
    </row>
    <row r="24">
      <c r="A24" s="34" t="inlineStr">
        <is>
          <t>Total</t>
        </is>
      </c>
      <c r="B24" s="35">
        <f>SUM(B20:B23)</f>
        <v/>
      </c>
      <c r="C24" s="36">
        <f>(B24/$B$24)*100</f>
        <v/>
      </c>
      <c r="D24" s="37" t="n">
        <v>100</v>
      </c>
      <c r="E24" s="34" t="inlineStr">
        <is>
          <t>All 18 defects triaged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2026-09-24T08:08:04Z</dcterms:created>
  <dcterms:modified xmlns:dcterms="http://purl.org/dc/terms/" xmlns:xsi="http://www.w3.org/2001/XMLSchema-instance" xsi:type="dcterms:W3CDTF">2026-09-24T15:18:00Z</dcterms:modified>
</cp:coreProperties>
</file>